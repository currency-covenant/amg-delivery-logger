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<sst xmlns="http://schemas.openxmlformats.org/spreadsheetml/2006/main" count="43" uniqueCount="37">
  <si>
    <t xml:space="preserve">DRIVERS#</t>
  </si>
  <si>
    <t xml:space="preserve">Total Stops </t>
  </si>
  <si>
    <t xml:space="preserve">$ PER STOP </t>
  </si>
  <si>
    <t xml:space="preserve">Total Stops Monday -Saturday</t>
  </si>
  <si>
    <t xml:space="preserve">$ Monday-Saturday</t>
  </si>
  <si>
    <t xml:space="preserve">Total Stops Sunday</t>
  </si>
  <si>
    <t xml:space="preserve">$ per stop sunday </t>
  </si>
  <si>
    <t xml:space="preserve">Sunday Earning </t>
  </si>
  <si>
    <t xml:space="preserve">TOTAL BEFORE EXT/DED</t>
  </si>
  <si>
    <t xml:space="preserve">EXTRAS</t>
  </si>
  <si>
    <t xml:space="preserve">DEDUCTIONS</t>
  </si>
  <si>
    <t xml:space="preserve">Bad VPOD</t>
  </si>
  <si>
    <t xml:space="preserve">MDL</t>
  </si>
  <si>
    <t xml:space="preserve">CNL</t>
  </si>
  <si>
    <t xml:space="preserve">GRAND TOTAL</t>
  </si>
  <si>
    <t xml:space="preserve">Name </t>
  </si>
  <si>
    <t xml:space="preserve">notes</t>
  </si>
  <si>
    <t xml:space="preserve">Sunday</t>
  </si>
  <si>
    <t xml:space="preserve">Monday</t>
  </si>
  <si>
    <t xml:space="preserve">Tuesday</t>
  </si>
  <si>
    <t xml:space="preserve">Wednesday</t>
  </si>
  <si>
    <t xml:space="preserve">Thursday</t>
  </si>
  <si>
    <t xml:space="preserve">Friday</t>
  </si>
  <si>
    <t xml:space="preserve">Saturday</t>
  </si>
  <si>
    <t xml:space="preserve">REDLANDS</t>
  </si>
  <si>
    <t xml:space="preserve">Floater Driver Numbers </t>
  </si>
  <si>
    <t xml:space="preserve">Saesoanl Drivers </t>
  </si>
  <si>
    <t xml:space="preserve">Pay Period </t>
  </si>
  <si>
    <t xml:space="preserve">November 30, 2025  to December 6, 2025</t>
  </si>
  <si>
    <t xml:space="preserve">Manager</t>
  </si>
  <si>
    <t xml:space="preserve">Total Redlands</t>
  </si>
  <si>
    <t xml:space="preserve">LANCASTER/PALMDALE</t>
  </si>
  <si>
    <t xml:space="preserve"> </t>
  </si>
  <si>
    <t xml:space="preserve">Tuesday </t>
  </si>
  <si>
    <t xml:space="preserve">Total Lancaster/Palmdale</t>
  </si>
  <si>
    <t xml:space="preserve">HESPERIA</t>
  </si>
  <si>
    <t xml:space="preserve">Manager 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</si>
</sst>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mmmm\ d"/>
    <numFmt numFmtId="166" formatCode="\$#,##0.00"/>
    <numFmt numFmtId="167" formatCode="\$#,##0.000"/>
    <numFmt numFmtId="168" formatCode="_(\$* #,##0.00_);_(\$* \(#,##0.00\);_(\$* \-??_);_(@_)"/>
    <numFmt numFmtId="169" formatCode="[$-409]#,##0;\(#,##0\)"/>
    <numFmt numFmtId="170" formatCode="[$-409]mmmm\ d&quot;, &quot;yyyy;@"/>
    <numFmt numFmtId="171" formatCode="#,##0"/>
    <numFmt numFmtId="172" formatCode="mmmmd"/>
    <numFmt numFmtId="173" formatCode="\$#,##0.00"/>
  </numFmts>
  <fonts count="2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theme="1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4"/>
      <color theme="1"/>
      <name val="Arial"/>
      <family val="2"/>
      <charset val="1"/>
    </font>
    <font>
      <sz val="12"/>
      <name val="Aptos Display"/>
      <family val="2"/>
      <charset val="1"/>
    </font>
    <font>
      <sz val="12"/>
      <color theme="1"/>
      <name val="Aptos Display"/>
      <family val="2"/>
      <charset val="1"/>
    </font>
    <font>
      <sz val="12"/>
      <color theme="1"/>
      <name val="Arial"/>
      <family val="2"/>
      <charset val="1"/>
    </font>
    <font>
      <strike val="true"/>
      <sz val="12"/>
      <color theme="1"/>
      <name val="Arial"/>
      <family val="2"/>
      <charset val="1"/>
    </font>
    <font>
      <b val="true"/>
      <strike val="true"/>
      <sz val="14"/>
      <color theme="1"/>
      <name val="Arial"/>
      <family val="2"/>
      <charset val="1"/>
    </font>
    <font>
      <strike val="true"/>
      <sz val="10"/>
      <color theme="1"/>
      <name val="Arial"/>
      <family val="2"/>
      <charset val="1"/>
    </font>
    <font>
      <sz val="14"/>
      <color rgb="FF202124"/>
      <name val="Arial"/>
      <family val="2"/>
      <charset val="1"/>
    </font>
    <font>
      <sz val="10"/>
      <color rgb="FF000000"/>
      <name val="Aptos Narrow"/>
      <family val="2"/>
      <charset val="1"/>
    </font>
    <font>
      <strike val="true"/>
      <sz val="10"/>
      <color rgb="FF000000"/>
      <name val="Aptos Narrow"/>
      <family val="2"/>
      <charset val="1"/>
    </font>
    <font>
      <sz val="12"/>
      <color theme="4" tint="-0.25"/>
      <name val="Arial"/>
      <family val="2"/>
      <charset val="1"/>
    </font>
    <font>
      <sz val="12"/>
      <name val="Calibri"/>
      <family val="2"/>
      <charset val="1"/>
    </font>
    <font>
      <sz val="14"/>
      <color rgb="FF000000"/>
      <name val="Aptos Narrow"/>
      <family val="2"/>
      <charset val="1"/>
    </font>
    <font>
      <sz val="11"/>
      <name val="Calibri"/>
      <family val="2"/>
      <charset val="1"/>
    </font>
    <font>
      <sz val="12"/>
      <color rgb="FF000000"/>
      <name val="Aptos Narrow"/>
      <family val="2"/>
      <charset val="1"/>
    </font>
    <font>
      <b val="true"/>
      <sz val="12"/>
      <color theme="1"/>
      <name val="Arial"/>
      <family val="2"/>
      <charset val="1"/>
    </font>
    <font>
      <sz val="14"/>
      <color theme="3" tint="0.4999"/>
      <name val="Arial"/>
      <family val="2"/>
      <charset val="1"/>
    </font>
    <font>
      <sz val="14"/>
      <color rgb="FF3D85C6"/>
      <name val="Arial"/>
      <family val="2"/>
      <charset val="1"/>
    </font>
    <font>
      <sz val="11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D9D9D9"/>
        <bgColor rgb="FFD9D2E9"/>
      </patternFill>
    </fill>
    <fill>
      <patternFill patternType="solid">
        <fgColor rgb="FFFFF2CC"/>
        <bgColor rgb="FFFFFFFF"/>
      </patternFill>
    </fill>
    <fill>
      <patternFill patternType="solid">
        <fgColor rgb="FFFFFFFF"/>
        <bgColor rgb="FFFFF2CC"/>
      </patternFill>
    </fill>
    <fill>
      <patternFill patternType="solid">
        <fgColor rgb="FFEA9999"/>
        <bgColor rgb="FFFF8080"/>
      </patternFill>
    </fill>
    <fill>
      <patternFill patternType="solid">
        <fgColor rgb="FF92D050"/>
        <bgColor rgb="FF969696"/>
      </patternFill>
    </fill>
    <fill>
      <patternFill patternType="solid">
        <fgColor rgb="FFC9DAF8"/>
        <bgColor rgb="FFD9D2E9"/>
      </patternFill>
    </fill>
    <fill>
      <patternFill patternType="solid">
        <fgColor rgb="FF000000"/>
        <bgColor rgb="FF202124"/>
      </patternFill>
    </fill>
    <fill>
      <patternFill patternType="solid">
        <fgColor rgb="FFD9D2E9"/>
        <bgColor rgb="FFD9D9D9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45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45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45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78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bottom" textRotation="45" wrapText="false" indent="0" shrinkToFit="false"/>
      <protection locked="true" hidden="false"/>
    </xf>
    <xf numFmtId="167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2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9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21" fillId="0" borderId="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21" fillId="0" borderId="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0" borderId="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9" fillId="0" borderId="3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4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3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9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8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2E9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EA9999"/>
      <rgbColor rgb="FFCC99FF"/>
      <rgbColor rgb="FFFFCC99"/>
      <rgbColor rgb="FF3D85C6"/>
      <rgbColor rgb="FF33CCCC"/>
      <rgbColor rgb="FF92D050"/>
      <rgbColor rgb="FFFFCC00"/>
      <rgbColor rgb="FFFF9900"/>
      <rgbColor rgb="FFFF6600"/>
      <rgbColor rgb="FF666699"/>
      <rgbColor rgb="FF969696"/>
      <rgbColor rgb="FF104862"/>
      <rgbColor rgb="FF4E95D9"/>
      <rgbColor rgb="FF003300"/>
      <rgbColor rgb="FF333300"/>
      <rgbColor rgb="FF993300"/>
      <rgbColor rgb="FF993366"/>
      <rgbColor rgb="FF333399"/>
      <rgbColor rgb="FF2021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5"/>
  <sheetViews>
    <sheetView showFormulas="false" showGridLines="true" showRowColHeaders="true" showZeros="true" rightToLeft="false" tabSelected="true" showOutlineSymbols="true" defaultGridColor="true" view="normal" topLeftCell="A43" colorId="64" zoomScale="75" zoomScaleNormal="75" zoomScalePageLayoutView="100" workbookViewId="0">
      <selection pane="topLeft" activeCell="L75" activeCellId="0" sqref="L75"/>
    </sheetView>
  </sheetViews>
  <sheetFormatPr defaultColWidth="12.57421875" defaultRowHeight="15" customHeight="true" zeroHeight="false" outlineLevelRow="0" outlineLevelCol="0"/>
  <cols>
    <col collapsed="false" customWidth="true" hidden="false" outlineLevel="0" max="2" min="2" style="1" width="64.85"/>
    <col collapsed="false" customWidth="true" hidden="false" outlineLevel="0" max="13" min="13" style="1" width="15.57"/>
    <col collapsed="false" customWidth="true" hidden="false" outlineLevel="0" max="14" min="14" style="1" width="15"/>
    <col collapsed="false" customWidth="true" hidden="false" outlineLevel="0" max="17" min="17" style="1" width="15.43"/>
    <col collapsed="false" customWidth="true" hidden="false" outlineLevel="0" max="18" min="18" style="1" width="28.29"/>
    <col collapsed="false" customWidth="true" hidden="false" outlineLevel="0" max="23" min="23" style="1" width="11.43"/>
    <col collapsed="false" customWidth="true" hidden="false" outlineLevel="0" max="24" min="24" style="1" width="27.29"/>
  </cols>
  <sheetData>
    <row r="1" customFormat="false" ht="195.5" hidden="false" customHeight="false" outlineLevel="0" collapsed="false">
      <c r="C1" s="2" t="s">
        <v>0</v>
      </c>
      <c r="D1" s="3" t="n">
        <v>45984</v>
      </c>
      <c r="E1" s="3" t="n">
        <v>45985</v>
      </c>
      <c r="F1" s="3" t="n">
        <v>45986</v>
      </c>
      <c r="G1" s="3" t="n">
        <v>45987</v>
      </c>
      <c r="H1" s="3" t="n">
        <v>45988</v>
      </c>
      <c r="I1" s="3" t="n">
        <v>45989</v>
      </c>
      <c r="J1" s="3" t="n">
        <v>45990</v>
      </c>
      <c r="K1" s="3" t="s">
        <v>1</v>
      </c>
      <c r="L1" s="4" t="s">
        <v>2</v>
      </c>
      <c r="M1" s="5" t="s">
        <v>3</v>
      </c>
      <c r="N1" s="4" t="s">
        <v>4</v>
      </c>
      <c r="O1" s="4" t="s">
        <v>5</v>
      </c>
      <c r="P1" s="4" t="s">
        <v>6</v>
      </c>
      <c r="Q1" s="4" t="s">
        <v>7</v>
      </c>
      <c r="R1" s="4" t="s">
        <v>8</v>
      </c>
      <c r="S1" s="4" t="s">
        <v>9</v>
      </c>
      <c r="T1" s="4" t="s">
        <v>10</v>
      </c>
      <c r="U1" s="4" t="s">
        <v>11</v>
      </c>
      <c r="V1" s="4" t="s">
        <v>12</v>
      </c>
      <c r="W1" s="4" t="s">
        <v>13</v>
      </c>
      <c r="X1" s="6" t="s">
        <v>14</v>
      </c>
      <c r="Y1" s="7" t="s">
        <v>15</v>
      </c>
      <c r="Z1" s="7" t="s">
        <v>16</v>
      </c>
    </row>
    <row r="2" customFormat="false" ht="15" hidden="false" customHeight="false" outlineLevel="0" collapsed="false">
      <c r="B2" s="8"/>
      <c r="C2" s="9"/>
      <c r="D2" s="10" t="s">
        <v>17</v>
      </c>
      <c r="E2" s="10" t="s">
        <v>18</v>
      </c>
      <c r="F2" s="10" t="s">
        <v>19</v>
      </c>
      <c r="G2" s="10" t="s">
        <v>20</v>
      </c>
      <c r="H2" s="10" t="s">
        <v>21</v>
      </c>
      <c r="I2" s="10" t="s">
        <v>22</v>
      </c>
      <c r="J2" s="10" t="s">
        <v>23</v>
      </c>
      <c r="K2" s="10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2"/>
      <c r="Y2" s="13"/>
      <c r="Z2" s="13"/>
    </row>
    <row r="3" customFormat="false" ht="15.75" hidden="false" customHeight="true" outlineLevel="0" collapsed="false">
      <c r="B3" s="14" t="s">
        <v>24</v>
      </c>
      <c r="C3" s="15"/>
      <c r="D3" s="15"/>
      <c r="E3" s="15"/>
      <c r="F3" s="15"/>
      <c r="G3" s="15"/>
      <c r="H3" s="15"/>
      <c r="I3" s="15"/>
      <c r="J3" s="15"/>
      <c r="K3" s="15"/>
      <c r="L3" s="16"/>
      <c r="M3" s="16"/>
      <c r="N3" s="16"/>
      <c r="O3" s="16"/>
      <c r="P3" s="16"/>
      <c r="Q3" s="16"/>
      <c r="R3" s="16"/>
      <c r="S3" s="16"/>
      <c r="T3" s="16"/>
      <c r="U3" s="17" t="n">
        <v>50</v>
      </c>
      <c r="V3" s="17" t="n">
        <v>75</v>
      </c>
      <c r="W3" s="17" t="n">
        <v>100</v>
      </c>
      <c r="X3" s="16"/>
      <c r="Y3" s="18"/>
      <c r="Z3" s="18"/>
    </row>
    <row r="4" customFormat="false" ht="15.75" hidden="false" customHeight="true" outlineLevel="0" collapsed="false">
      <c r="B4" s="14"/>
      <c r="C4" s="15"/>
      <c r="D4" s="15"/>
      <c r="E4" s="15"/>
      <c r="F4" s="15"/>
      <c r="G4" s="15"/>
      <c r="H4" s="15"/>
      <c r="I4" s="15"/>
      <c r="J4" s="15"/>
      <c r="K4" s="15"/>
      <c r="L4" s="16"/>
      <c r="M4" s="16"/>
      <c r="N4" s="16"/>
      <c r="O4" s="16"/>
      <c r="P4" s="16"/>
      <c r="Q4" s="16"/>
      <c r="R4" s="16"/>
      <c r="S4" s="16"/>
      <c r="T4" s="16"/>
      <c r="U4" s="17"/>
      <c r="V4" s="17"/>
      <c r="W4" s="17"/>
      <c r="X4" s="16"/>
      <c r="Y4" s="18"/>
      <c r="Z4" s="18"/>
    </row>
    <row r="5" customFormat="false" ht="15.75" hidden="false" customHeight="true" outlineLevel="0" collapsed="false">
      <c r="A5" s="19" t="n">
        <v>1</v>
      </c>
      <c r="B5" s="20"/>
      <c r="C5" s="21"/>
      <c r="D5" s="22"/>
      <c r="E5" s="22"/>
      <c r="F5" s="22"/>
      <c r="G5" s="22"/>
      <c r="H5" s="22"/>
      <c r="I5" s="22"/>
      <c r="J5" s="22"/>
      <c r="K5" s="23" t="n">
        <f aca="false">SUM(D5:J5)</f>
        <v>0</v>
      </c>
      <c r="L5" s="24" t="n">
        <v>1.75</v>
      </c>
      <c r="M5" s="25" t="n">
        <f aca="false">SUM(E5:J5)</f>
        <v>0</v>
      </c>
      <c r="N5" s="26" t="n">
        <f aca="false">M5*L5</f>
        <v>0</v>
      </c>
      <c r="O5" s="27" t="n">
        <f aca="false">D5</f>
        <v>0</v>
      </c>
      <c r="P5" s="28" t="n">
        <v>1.85</v>
      </c>
      <c r="Q5" s="29" t="n">
        <f aca="false">(P5*O5)</f>
        <v>0</v>
      </c>
      <c r="R5" s="29" t="n">
        <f aca="false">N5+Q5</f>
        <v>0</v>
      </c>
      <c r="S5" s="30"/>
      <c r="T5" s="30"/>
      <c r="U5" s="30"/>
      <c r="V5" s="30"/>
      <c r="W5" s="30"/>
      <c r="X5" s="31" t="n">
        <f aca="false">R5+S5-T5-U5-V5-W5</f>
        <v>0</v>
      </c>
      <c r="Y5" s="32"/>
      <c r="Z5" s="33"/>
    </row>
    <row r="6" customFormat="false" ht="15.75" hidden="false" customHeight="true" outlineLevel="0" collapsed="false">
      <c r="A6" s="19" t="n">
        <v>2</v>
      </c>
      <c r="B6" s="34"/>
      <c r="C6" s="21"/>
      <c r="D6" s="22"/>
      <c r="E6" s="22"/>
      <c r="F6" s="22"/>
      <c r="G6" s="22"/>
      <c r="H6" s="22"/>
      <c r="I6" s="22"/>
      <c r="J6" s="22"/>
      <c r="K6" s="35" t="n">
        <f aca="false">SUM(D6:J6)</f>
        <v>0</v>
      </c>
      <c r="L6" s="24" t="n">
        <v>1.75</v>
      </c>
      <c r="M6" s="25" t="n">
        <f aca="false">SUM(E6:J6)</f>
        <v>0</v>
      </c>
      <c r="N6" s="26" t="n">
        <f aca="false">M6*L6</f>
        <v>0</v>
      </c>
      <c r="O6" s="27" t="n">
        <f aca="false">D6</f>
        <v>0</v>
      </c>
      <c r="P6" s="29" t="n">
        <v>1.85</v>
      </c>
      <c r="Q6" s="29" t="n">
        <f aca="false">(P6*O6)</f>
        <v>0</v>
      </c>
      <c r="R6" s="29" t="n">
        <f aca="false">N6+Q6</f>
        <v>0</v>
      </c>
      <c r="S6" s="36" t="n">
        <v>498</v>
      </c>
      <c r="T6" s="36"/>
      <c r="U6" s="36"/>
      <c r="V6" s="36"/>
      <c r="W6" s="36"/>
      <c r="X6" s="31" t="n">
        <f aca="false">R6+S6-T6-U6-V6-W6</f>
        <v>498</v>
      </c>
    </row>
    <row r="7" customFormat="false" ht="15.75" hidden="false" customHeight="true" outlineLevel="0" collapsed="false">
      <c r="A7" s="19" t="n">
        <v>3</v>
      </c>
      <c r="B7" s="20"/>
      <c r="C7" s="21"/>
      <c r="D7" s="22"/>
      <c r="E7" s="22"/>
      <c r="F7" s="22"/>
      <c r="G7" s="22"/>
      <c r="H7" s="22"/>
      <c r="I7" s="22"/>
      <c r="J7" s="22"/>
      <c r="K7" s="35" t="n">
        <f aca="false">SUM(D7:J7)</f>
        <v>0</v>
      </c>
      <c r="L7" s="24" t="n">
        <v>1.75</v>
      </c>
      <c r="M7" s="25" t="n">
        <f aca="false">SUM(E7:J7)</f>
        <v>0</v>
      </c>
      <c r="N7" s="26" t="n">
        <f aca="false">M7*L7</f>
        <v>0</v>
      </c>
      <c r="O7" s="27" t="n">
        <f aca="false">D7</f>
        <v>0</v>
      </c>
      <c r="P7" s="29" t="n">
        <v>1.85</v>
      </c>
      <c r="Q7" s="29" t="n">
        <f aca="false">(P7*O7)</f>
        <v>0</v>
      </c>
      <c r="R7" s="29" t="n">
        <f aca="false">N7+Q7</f>
        <v>0</v>
      </c>
      <c r="S7" s="36"/>
      <c r="T7" s="36"/>
      <c r="U7" s="36"/>
      <c r="V7" s="36"/>
      <c r="W7" s="36"/>
      <c r="X7" s="31" t="n">
        <f aca="false">R7+S7-T7-U7-V7-W7</f>
        <v>0</v>
      </c>
      <c r="Y7" s="37"/>
      <c r="Z7" s="38"/>
    </row>
    <row r="8" customFormat="false" ht="15.75" hidden="false" customHeight="true" outlineLevel="0" collapsed="false">
      <c r="A8" s="19" t="n">
        <v>4</v>
      </c>
      <c r="B8" s="20"/>
      <c r="C8" s="21"/>
      <c r="D8" s="22"/>
      <c r="E8" s="22"/>
      <c r="F8" s="22"/>
      <c r="G8" s="22"/>
      <c r="H8" s="22"/>
      <c r="I8" s="22"/>
      <c r="J8" s="22"/>
      <c r="K8" s="35" t="n">
        <f aca="false">SUM(D8:J8)</f>
        <v>0</v>
      </c>
      <c r="L8" s="24" t="n">
        <v>2.35</v>
      </c>
      <c r="M8" s="25" t="n">
        <f aca="false">SUM(E8:J8)</f>
        <v>0</v>
      </c>
      <c r="N8" s="26" t="n">
        <f aca="false">M8*L8</f>
        <v>0</v>
      </c>
      <c r="O8" s="27" t="n">
        <f aca="false">D8</f>
        <v>0</v>
      </c>
      <c r="P8" s="29" t="n">
        <v>2.35</v>
      </c>
      <c r="Q8" s="29" t="n">
        <f aca="false">(P8*O8)</f>
        <v>0</v>
      </c>
      <c r="R8" s="29" t="n">
        <f aca="false">N8+Q8</f>
        <v>0</v>
      </c>
      <c r="S8" s="36" t="n">
        <v>455</v>
      </c>
      <c r="T8" s="36"/>
      <c r="U8" s="36"/>
      <c r="V8" s="36"/>
      <c r="W8" s="36"/>
      <c r="X8" s="31" t="n">
        <f aca="false">R8+S8-T8-U8-V8-W8</f>
        <v>455</v>
      </c>
      <c r="Y8" s="38"/>
      <c r="Z8" s="38"/>
    </row>
    <row r="9" customFormat="false" ht="15.75" hidden="false" customHeight="true" outlineLevel="0" collapsed="false">
      <c r="A9" s="19" t="n">
        <v>5</v>
      </c>
      <c r="B9" s="20"/>
      <c r="C9" s="21"/>
      <c r="D9" s="22"/>
      <c r="E9" s="22"/>
      <c r="F9" s="22"/>
      <c r="G9" s="22"/>
      <c r="H9" s="22"/>
      <c r="I9" s="22"/>
      <c r="J9" s="22"/>
      <c r="K9" s="35" t="n">
        <f aca="false">SUM(D9:J9)</f>
        <v>0</v>
      </c>
      <c r="L9" s="24" t="n">
        <v>1.75</v>
      </c>
      <c r="M9" s="25" t="n">
        <f aca="false">SUM(E9:J9)</f>
        <v>0</v>
      </c>
      <c r="N9" s="26" t="n">
        <f aca="false">M9*L9</f>
        <v>0</v>
      </c>
      <c r="O9" s="27" t="n">
        <f aca="false">D9</f>
        <v>0</v>
      </c>
      <c r="P9" s="29" t="n">
        <v>1.85</v>
      </c>
      <c r="Q9" s="29" t="n">
        <f aca="false">(P9*O9)</f>
        <v>0</v>
      </c>
      <c r="R9" s="29" t="n">
        <f aca="false">N9+Q9</f>
        <v>0</v>
      </c>
      <c r="S9" s="36"/>
      <c r="T9" s="36"/>
      <c r="U9" s="36"/>
      <c r="V9" s="36"/>
      <c r="W9" s="36"/>
      <c r="X9" s="31" t="n">
        <f aca="false">R9+S9-T9-U9-V9-W9</f>
        <v>0</v>
      </c>
      <c r="Y9" s="37"/>
      <c r="Z9" s="38"/>
    </row>
    <row r="10" customFormat="false" ht="15.75" hidden="false" customHeight="true" outlineLevel="0" collapsed="false">
      <c r="A10" s="19" t="n">
        <v>6</v>
      </c>
      <c r="B10" s="20"/>
      <c r="C10" s="21"/>
      <c r="D10" s="22"/>
      <c r="E10" s="22"/>
      <c r="F10" s="22"/>
      <c r="G10" s="22"/>
      <c r="H10" s="22"/>
      <c r="I10" s="22"/>
      <c r="J10" s="22"/>
      <c r="K10" s="35" t="n">
        <f aca="false">SUM(D10:J10)</f>
        <v>0</v>
      </c>
      <c r="L10" s="24" t="n">
        <v>1.75</v>
      </c>
      <c r="M10" s="25" t="n">
        <f aca="false">SUM(E10:J10)</f>
        <v>0</v>
      </c>
      <c r="N10" s="26" t="n">
        <f aca="false">M10*L10</f>
        <v>0</v>
      </c>
      <c r="O10" s="27" t="n">
        <f aca="false">D10</f>
        <v>0</v>
      </c>
      <c r="P10" s="29" t="n">
        <v>1.85</v>
      </c>
      <c r="Q10" s="29" t="n">
        <f aca="false">(P10*O10)</f>
        <v>0</v>
      </c>
      <c r="R10" s="29" t="n">
        <f aca="false">N10+Q10</f>
        <v>0</v>
      </c>
      <c r="S10" s="36"/>
      <c r="T10" s="36"/>
      <c r="U10" s="36"/>
      <c r="V10" s="36"/>
      <c r="W10" s="36"/>
      <c r="X10" s="31" t="n">
        <f aca="false">R10+S10-T10-U10-V10-W10</f>
        <v>0</v>
      </c>
    </row>
    <row r="11" customFormat="false" ht="15.75" hidden="false" customHeight="true" outlineLevel="0" collapsed="false">
      <c r="A11" s="39" t="n">
        <v>7</v>
      </c>
      <c r="B11" s="21"/>
      <c r="C11" s="21"/>
      <c r="D11" s="22"/>
      <c r="E11" s="22"/>
      <c r="F11" s="22"/>
      <c r="G11" s="22"/>
      <c r="H11" s="22"/>
      <c r="I11" s="22"/>
      <c r="J11" s="22"/>
      <c r="K11" s="35" t="n">
        <f aca="false">SUM(D11:J11)</f>
        <v>0</v>
      </c>
      <c r="L11" s="24" t="n">
        <v>1.75</v>
      </c>
      <c r="M11" s="25" t="n">
        <f aca="false">SUM(E11:J11)</f>
        <v>0</v>
      </c>
      <c r="N11" s="26" t="n">
        <f aca="false">M11*L11</f>
        <v>0</v>
      </c>
      <c r="O11" s="27" t="n">
        <f aca="false">D11</f>
        <v>0</v>
      </c>
      <c r="P11" s="29" t="n">
        <v>1.85</v>
      </c>
      <c r="Q11" s="29" t="n">
        <f aca="false">(P11*O11)</f>
        <v>0</v>
      </c>
      <c r="R11" s="29" t="n">
        <f aca="false">N11+Q11</f>
        <v>0</v>
      </c>
      <c r="S11" s="36" t="n">
        <v>87.5</v>
      </c>
      <c r="T11" s="36"/>
      <c r="U11" s="36"/>
      <c r="V11" s="36"/>
      <c r="W11" s="36"/>
      <c r="X11" s="40" t="n">
        <f aca="false">R11+S11-T11-U11-V11-W11+R12+S12-T12-U12-V12-W12</f>
        <v>87.5</v>
      </c>
      <c r="Z11" s="41"/>
    </row>
    <row r="12" customFormat="false" ht="15.75" hidden="false" customHeight="true" outlineLevel="0" collapsed="false">
      <c r="A12" s="39"/>
      <c r="B12" s="21"/>
      <c r="C12" s="21"/>
      <c r="D12" s="22"/>
      <c r="E12" s="22"/>
      <c r="F12" s="22"/>
      <c r="G12" s="22"/>
      <c r="H12" s="22"/>
      <c r="I12" s="22"/>
      <c r="J12" s="22"/>
      <c r="K12" s="35" t="n">
        <f aca="false">SUM(D12:J12)</f>
        <v>0</v>
      </c>
      <c r="L12" s="24" t="n">
        <v>1.75</v>
      </c>
      <c r="M12" s="25" t="n">
        <f aca="false">SUM(E12:J12)</f>
        <v>0</v>
      </c>
      <c r="N12" s="26" t="n">
        <f aca="false">M12*L12</f>
        <v>0</v>
      </c>
      <c r="O12" s="27" t="n">
        <f aca="false">D12</f>
        <v>0</v>
      </c>
      <c r="P12" s="29" t="n">
        <v>1.85</v>
      </c>
      <c r="Q12" s="29" t="n">
        <f aca="false">(P12*O12)</f>
        <v>0</v>
      </c>
      <c r="R12" s="29" t="n">
        <f aca="false">N12+Q12</f>
        <v>0</v>
      </c>
      <c r="S12" s="36"/>
      <c r="T12" s="36"/>
      <c r="U12" s="36"/>
      <c r="V12" s="36"/>
      <c r="W12" s="36"/>
      <c r="X12" s="40"/>
      <c r="Y12" s="37"/>
      <c r="Z12" s="38"/>
    </row>
    <row r="13" customFormat="false" ht="15.75" hidden="false" customHeight="true" outlineLevel="0" collapsed="false">
      <c r="A13" s="19" t="n">
        <v>8</v>
      </c>
      <c r="B13" s="20"/>
      <c r="C13" s="21"/>
      <c r="D13" s="22"/>
      <c r="E13" s="22"/>
      <c r="F13" s="22"/>
      <c r="G13" s="22"/>
      <c r="H13" s="22"/>
      <c r="I13" s="22"/>
      <c r="J13" s="22"/>
      <c r="K13" s="35" t="n">
        <f aca="false">SUM(D13:J13)</f>
        <v>0</v>
      </c>
      <c r="L13" s="24" t="n">
        <v>1.75</v>
      </c>
      <c r="M13" s="25" t="n">
        <f aca="false">SUM(E13:J13)</f>
        <v>0</v>
      </c>
      <c r="N13" s="26" t="n">
        <f aca="false">M13*L13</f>
        <v>0</v>
      </c>
      <c r="O13" s="27" t="n">
        <f aca="false">D13</f>
        <v>0</v>
      </c>
      <c r="P13" s="29" t="n">
        <v>1.85</v>
      </c>
      <c r="Q13" s="29" t="n">
        <f aca="false">(P13*O13)</f>
        <v>0</v>
      </c>
      <c r="R13" s="29" t="n">
        <f aca="false">N13+Q13</f>
        <v>0</v>
      </c>
      <c r="S13" s="36"/>
      <c r="T13" s="36"/>
      <c r="U13" s="36"/>
      <c r="V13" s="36"/>
      <c r="W13" s="36"/>
      <c r="X13" s="31" t="n">
        <f aca="false">R13+S13-T13-U13-V13-W13</f>
        <v>0</v>
      </c>
      <c r="Y13" s="37"/>
      <c r="Z13" s="38"/>
    </row>
    <row r="14" customFormat="false" ht="15.75" hidden="false" customHeight="true" outlineLevel="0" collapsed="false">
      <c r="A14" s="19" t="n">
        <v>9</v>
      </c>
      <c r="B14" s="20"/>
      <c r="C14" s="21"/>
      <c r="D14" s="22"/>
      <c r="E14" s="22"/>
      <c r="F14" s="22"/>
      <c r="G14" s="22"/>
      <c r="H14" s="22"/>
      <c r="I14" s="22"/>
      <c r="J14" s="22"/>
      <c r="K14" s="35" t="n">
        <f aca="false">SUM(D14:J14)</f>
        <v>0</v>
      </c>
      <c r="L14" s="24" t="n">
        <v>1.75</v>
      </c>
      <c r="M14" s="25" t="n">
        <f aca="false">SUM(E14:J14)</f>
        <v>0</v>
      </c>
      <c r="N14" s="26" t="n">
        <f aca="false">M14*L14</f>
        <v>0</v>
      </c>
      <c r="O14" s="27" t="n">
        <f aca="false">D14</f>
        <v>0</v>
      </c>
      <c r="P14" s="29" t="n">
        <v>1.85</v>
      </c>
      <c r="Q14" s="29" t="n">
        <f aca="false">(P14*O14)</f>
        <v>0</v>
      </c>
      <c r="R14" s="29" t="n">
        <f aca="false">N14+Q14</f>
        <v>0</v>
      </c>
      <c r="S14" s="36"/>
      <c r="T14" s="36"/>
      <c r="U14" s="36"/>
      <c r="V14" s="36"/>
      <c r="W14" s="36"/>
      <c r="X14" s="31" t="n">
        <f aca="false">R14+S14-T14-U14-V14-W14</f>
        <v>0</v>
      </c>
      <c r="Y14" s="37"/>
      <c r="Z14" s="38"/>
    </row>
    <row r="15" customFormat="false" ht="15.75" hidden="false" customHeight="true" outlineLevel="0" collapsed="false">
      <c r="A15" s="19" t="n">
        <v>10</v>
      </c>
      <c r="B15" s="20"/>
      <c r="C15" s="21"/>
      <c r="D15" s="22"/>
      <c r="E15" s="22"/>
      <c r="F15" s="22"/>
      <c r="G15" s="22"/>
      <c r="H15" s="22"/>
      <c r="I15" s="22"/>
      <c r="J15" s="22"/>
      <c r="K15" s="35" t="n">
        <f aca="false">SUM(D15:J15)</f>
        <v>0</v>
      </c>
      <c r="L15" s="24" t="n">
        <v>1.75</v>
      </c>
      <c r="M15" s="25" t="n">
        <f aca="false">SUM(E15:J15)</f>
        <v>0</v>
      </c>
      <c r="N15" s="26" t="n">
        <f aca="false">M15*L15</f>
        <v>0</v>
      </c>
      <c r="O15" s="27" t="n">
        <f aca="false">D15</f>
        <v>0</v>
      </c>
      <c r="P15" s="29" t="n">
        <v>1.85</v>
      </c>
      <c r="Q15" s="29" t="n">
        <f aca="false">(P15*O15)</f>
        <v>0</v>
      </c>
      <c r="R15" s="29" t="n">
        <f aca="false">N15+Q15</f>
        <v>0</v>
      </c>
      <c r="S15" s="36"/>
      <c r="T15" s="36" t="n">
        <v>300</v>
      </c>
      <c r="U15" s="36"/>
      <c r="V15" s="36"/>
      <c r="W15" s="36"/>
      <c r="X15" s="31" t="n">
        <f aca="false">R15+S15-T15-U15-V15-W15</f>
        <v>-300</v>
      </c>
      <c r="Y15" s="37"/>
      <c r="Z15" s="38"/>
    </row>
    <row r="16" s="44" customFormat="true" ht="15.75" hidden="false" customHeight="true" outlineLevel="0" collapsed="false">
      <c r="A16" s="19" t="n">
        <v>11</v>
      </c>
      <c r="B16" s="20"/>
      <c r="C16" s="21"/>
      <c r="D16" s="22"/>
      <c r="E16" s="22"/>
      <c r="F16" s="22"/>
      <c r="G16" s="22"/>
      <c r="H16" s="22"/>
      <c r="I16" s="22"/>
      <c r="J16" s="22"/>
      <c r="K16" s="35" t="n">
        <f aca="false">SUM(D16:J16)</f>
        <v>0</v>
      </c>
      <c r="L16" s="24" t="n">
        <v>1.75</v>
      </c>
      <c r="M16" s="25" t="n">
        <f aca="false">SUM(E16:J16)</f>
        <v>0</v>
      </c>
      <c r="N16" s="26" t="n">
        <f aca="false">M16*L16</f>
        <v>0</v>
      </c>
      <c r="O16" s="27" t="n">
        <f aca="false">D16</f>
        <v>0</v>
      </c>
      <c r="P16" s="29" t="n">
        <v>1.85</v>
      </c>
      <c r="Q16" s="29" t="n">
        <f aca="false">(P16*O16)</f>
        <v>0</v>
      </c>
      <c r="R16" s="29" t="n">
        <f aca="false">N16+Q16</f>
        <v>0</v>
      </c>
      <c r="S16" s="42"/>
      <c r="T16" s="36"/>
      <c r="U16" s="36"/>
      <c r="V16" s="36"/>
      <c r="W16" s="36"/>
      <c r="X16" s="31" t="n">
        <f aca="false">R16+S16-T16-U16-V16-W16</f>
        <v>0</v>
      </c>
      <c r="Y16" s="37"/>
      <c r="Z16" s="38"/>
      <c r="AA16" s="43"/>
    </row>
    <row r="17" customFormat="false" ht="15.75" hidden="false" customHeight="true" outlineLevel="0" collapsed="false">
      <c r="A17" s="19" t="n">
        <v>12</v>
      </c>
      <c r="B17" s="20"/>
      <c r="C17" s="21"/>
      <c r="D17" s="22"/>
      <c r="E17" s="22"/>
      <c r="F17" s="22"/>
      <c r="G17" s="22"/>
      <c r="H17" s="22"/>
      <c r="I17" s="22"/>
      <c r="J17" s="22"/>
      <c r="K17" s="35" t="n">
        <f aca="false">SUM(D17:J17)</f>
        <v>0</v>
      </c>
      <c r="L17" s="24" t="n">
        <v>1.75</v>
      </c>
      <c r="M17" s="25" t="n">
        <f aca="false">SUM(E17:J17)</f>
        <v>0</v>
      </c>
      <c r="N17" s="26" t="n">
        <f aca="false">M17*L17</f>
        <v>0</v>
      </c>
      <c r="O17" s="27" t="n">
        <f aca="false">D17</f>
        <v>0</v>
      </c>
      <c r="P17" s="29" t="n">
        <v>1.85</v>
      </c>
      <c r="Q17" s="29" t="n">
        <f aca="false">(P17*O17)</f>
        <v>0</v>
      </c>
      <c r="R17" s="29" t="n">
        <f aca="false">N17+Q17</f>
        <v>0</v>
      </c>
      <c r="S17" s="36"/>
      <c r="T17" s="36"/>
      <c r="U17" s="36"/>
      <c r="V17" s="36"/>
      <c r="W17" s="36"/>
      <c r="X17" s="31" t="n">
        <f aca="false">R17+S17-T17-U17-V17-W17</f>
        <v>0</v>
      </c>
      <c r="Y17" s="37"/>
      <c r="Z17" s="38"/>
    </row>
    <row r="18" customFormat="false" ht="15.75" hidden="false" customHeight="true" outlineLevel="0" collapsed="false">
      <c r="A18" s="19" t="n">
        <v>13</v>
      </c>
      <c r="B18" s="20"/>
      <c r="C18" s="21"/>
      <c r="D18" s="22"/>
      <c r="E18" s="22"/>
      <c r="F18" s="22"/>
      <c r="G18" s="22"/>
      <c r="H18" s="22"/>
      <c r="I18" s="22"/>
      <c r="J18" s="22"/>
      <c r="K18" s="35" t="n">
        <f aca="false">SUM(D18:J18)</f>
        <v>0</v>
      </c>
      <c r="L18" s="24" t="n">
        <v>1.75</v>
      </c>
      <c r="M18" s="25" t="n">
        <f aca="false">SUM(E18:J18)</f>
        <v>0</v>
      </c>
      <c r="N18" s="26" t="n">
        <f aca="false">M18*L18</f>
        <v>0</v>
      </c>
      <c r="O18" s="27" t="n">
        <f aca="false">D18</f>
        <v>0</v>
      </c>
      <c r="P18" s="29" t="n">
        <v>1.85</v>
      </c>
      <c r="Q18" s="29" t="n">
        <f aca="false">(P18*O18)</f>
        <v>0</v>
      </c>
      <c r="R18" s="29" t="n">
        <f aca="false">N18+Q18</f>
        <v>0</v>
      </c>
      <c r="S18" s="36"/>
      <c r="T18" s="36"/>
      <c r="U18" s="36"/>
      <c r="V18" s="36"/>
      <c r="W18" s="36"/>
      <c r="X18" s="31" t="n">
        <f aca="false">R18+S18-T18-U18-V18-W18</f>
        <v>0</v>
      </c>
    </row>
    <row r="19" customFormat="false" ht="15.75" hidden="false" customHeight="true" outlineLevel="0" collapsed="false">
      <c r="A19" s="19" t="n">
        <v>14</v>
      </c>
      <c r="B19" s="20"/>
      <c r="C19" s="21"/>
      <c r="K19" s="35" t="n">
        <f aca="false">SUM(D19:J19)</f>
        <v>0</v>
      </c>
      <c r="L19" s="24" t="n">
        <v>1.75</v>
      </c>
      <c r="M19" s="25" t="n">
        <f aca="false">SUM(E19:J19)</f>
        <v>0</v>
      </c>
      <c r="N19" s="26" t="n">
        <f aca="false">M19*L19</f>
        <v>0</v>
      </c>
      <c r="O19" s="27" t="n">
        <f aca="false">D19</f>
        <v>0</v>
      </c>
      <c r="P19" s="29" t="n">
        <v>1.85</v>
      </c>
      <c r="Q19" s="29" t="n">
        <f aca="false">(P19*O19)</f>
        <v>0</v>
      </c>
      <c r="R19" s="29" t="n">
        <f aca="false">N19+Q19</f>
        <v>0</v>
      </c>
      <c r="S19" s="45"/>
      <c r="T19" s="36"/>
      <c r="U19" s="36"/>
      <c r="V19" s="36"/>
      <c r="W19" s="36"/>
      <c r="X19" s="31" t="n">
        <f aca="false">R19+S19-T19-U19-V19-W19</f>
        <v>0</v>
      </c>
      <c r="Y19" s="37"/>
      <c r="Z19" s="38"/>
    </row>
    <row r="20" customFormat="false" ht="15.75" hidden="false" customHeight="true" outlineLevel="0" collapsed="false">
      <c r="A20" s="19" t="n">
        <v>15</v>
      </c>
      <c r="B20" s="20"/>
      <c r="C20" s="21"/>
      <c r="D20" s="22"/>
      <c r="E20" s="22"/>
      <c r="F20" s="22"/>
      <c r="G20" s="22"/>
      <c r="H20" s="22"/>
      <c r="I20" s="22"/>
      <c r="J20" s="22"/>
      <c r="K20" s="35" t="n">
        <f aca="false">SUM(D20:J20)</f>
        <v>0</v>
      </c>
      <c r="L20" s="24" t="n">
        <v>1.75</v>
      </c>
      <c r="M20" s="25" t="n">
        <f aca="false">SUM(E20:J20)</f>
        <v>0</v>
      </c>
      <c r="N20" s="26" t="n">
        <f aca="false">M20*L20</f>
        <v>0</v>
      </c>
      <c r="O20" s="27" t="n">
        <f aca="false">D20</f>
        <v>0</v>
      </c>
      <c r="P20" s="29" t="n">
        <v>1.85</v>
      </c>
      <c r="Q20" s="29" t="n">
        <f aca="false">(P20*O20)</f>
        <v>0</v>
      </c>
      <c r="R20" s="29" t="n">
        <f aca="false">N20+Q20</f>
        <v>0</v>
      </c>
      <c r="S20" s="36"/>
      <c r="T20" s="36"/>
      <c r="U20" s="36"/>
      <c r="V20" s="36"/>
      <c r="W20" s="36"/>
      <c r="X20" s="31" t="n">
        <f aca="false">R20+S20-T20-U20-V20-W20</f>
        <v>0</v>
      </c>
      <c r="Y20" s="37"/>
      <c r="Z20" s="38"/>
    </row>
    <row r="21" customFormat="false" ht="15.75" hidden="false" customHeight="true" outlineLevel="0" collapsed="false">
      <c r="A21" s="19" t="n">
        <v>16</v>
      </c>
      <c r="B21" s="20"/>
      <c r="C21" s="21"/>
      <c r="D21" s="22"/>
      <c r="E21" s="22"/>
      <c r="F21" s="22"/>
      <c r="G21" s="22"/>
      <c r="H21" s="22"/>
      <c r="I21" s="22"/>
      <c r="J21" s="22"/>
      <c r="K21" s="35" t="n">
        <f aca="false">SUM(D21:J21)</f>
        <v>0</v>
      </c>
      <c r="L21" s="24" t="n">
        <v>1.75</v>
      </c>
      <c r="M21" s="25" t="n">
        <f aca="false">SUM(E21:J21)</f>
        <v>0</v>
      </c>
      <c r="N21" s="26" t="n">
        <f aca="false">M21*L21</f>
        <v>0</v>
      </c>
      <c r="O21" s="27" t="n">
        <f aca="false">D21</f>
        <v>0</v>
      </c>
      <c r="P21" s="29" t="n">
        <v>1.85</v>
      </c>
      <c r="Q21" s="29" t="n">
        <f aca="false">(P21*O21)</f>
        <v>0</v>
      </c>
      <c r="R21" s="29" t="n">
        <f aca="false">N21+Q21</f>
        <v>0</v>
      </c>
      <c r="S21" s="42"/>
      <c r="T21" s="36" t="n">
        <v>150</v>
      </c>
      <c r="U21" s="36"/>
      <c r="V21" s="36"/>
      <c r="W21" s="36"/>
      <c r="X21" s="31" t="n">
        <f aca="false">R21+S21-T21-U21-V21-W21</f>
        <v>-150</v>
      </c>
      <c r="Y21" s="38"/>
      <c r="Z21" s="38"/>
    </row>
    <row r="22" customFormat="false" ht="15.75" hidden="false" customHeight="true" outlineLevel="0" collapsed="false">
      <c r="A22" s="19"/>
      <c r="B22" s="20"/>
      <c r="C22" s="21"/>
      <c r="D22" s="46"/>
      <c r="E22" s="46"/>
      <c r="F22" s="46"/>
      <c r="G22" s="46"/>
      <c r="H22" s="46"/>
      <c r="I22" s="46"/>
      <c r="J22" s="46"/>
      <c r="K22" s="35"/>
      <c r="L22" s="24"/>
      <c r="M22" s="25"/>
      <c r="N22" s="26"/>
      <c r="O22" s="27"/>
      <c r="P22" s="29"/>
      <c r="Q22" s="29"/>
      <c r="R22" s="29"/>
      <c r="S22" s="36"/>
      <c r="T22" s="36"/>
      <c r="U22" s="36"/>
      <c r="V22" s="36"/>
      <c r="W22" s="36"/>
      <c r="X22" s="31"/>
    </row>
    <row r="23" s="47" customFormat="true" ht="15.75" hidden="false" customHeight="true" outlineLevel="0" collapsed="false">
      <c r="B23" s="48" t="s">
        <v>25</v>
      </c>
      <c r="C23" s="48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</row>
    <row r="24" customFormat="false" ht="15.75" hidden="false" customHeight="true" outlineLevel="0" collapsed="false">
      <c r="A24" s="50" t="n">
        <v>17</v>
      </c>
      <c r="B24" s="51"/>
      <c r="C24" s="21"/>
      <c r="K24" s="46" t="n">
        <f aca="false">SUM(D24:J24)</f>
        <v>0</v>
      </c>
      <c r="L24" s="29" t="n">
        <v>1.75</v>
      </c>
      <c r="M24" s="27" t="n">
        <f aca="false">SUM(E24:J24)</f>
        <v>0</v>
      </c>
      <c r="N24" s="52" t="n">
        <f aca="false">L24*M24</f>
        <v>0</v>
      </c>
      <c r="O24" s="27" t="n">
        <f aca="false">D24</f>
        <v>0</v>
      </c>
      <c r="P24" s="29" t="n">
        <v>1.85</v>
      </c>
      <c r="Q24" s="29" t="n">
        <f aca="false">(P24*D24)</f>
        <v>0</v>
      </c>
      <c r="R24" s="29" t="n">
        <f aca="false">SUM(N24,Q24)</f>
        <v>0</v>
      </c>
      <c r="S24" s="36"/>
      <c r="T24" s="36"/>
      <c r="U24" s="36"/>
      <c r="V24" s="36"/>
      <c r="W24" s="36"/>
      <c r="X24" s="31" t="n">
        <f aca="false">R24+S24-T24-U24-V24-W24</f>
        <v>0</v>
      </c>
    </row>
    <row r="25" customFormat="false" ht="15.75" hidden="false" customHeight="true" outlineLevel="0" collapsed="false">
      <c r="A25" s="50" t="n">
        <v>18</v>
      </c>
      <c r="B25" s="51"/>
      <c r="C25" s="21"/>
      <c r="D25" s="53"/>
      <c r="E25" s="53"/>
      <c r="F25" s="53"/>
      <c r="G25" s="53"/>
      <c r="H25" s="53"/>
      <c r="I25" s="53"/>
      <c r="J25" s="53"/>
      <c r="K25" s="46" t="n">
        <f aca="false">SUM(D25:J25)</f>
        <v>0</v>
      </c>
      <c r="L25" s="29" t="n">
        <v>1.75</v>
      </c>
      <c r="M25" s="27" t="n">
        <f aca="false">SUM(E25:J25)</f>
        <v>0</v>
      </c>
      <c r="N25" s="52" t="n">
        <f aca="false">L25*M25</f>
        <v>0</v>
      </c>
      <c r="O25" s="54" t="n">
        <f aca="false">D25</f>
        <v>0</v>
      </c>
      <c r="P25" s="29" t="n">
        <v>1.85</v>
      </c>
      <c r="Q25" s="29" t="n">
        <f aca="false">(P25*D25)</f>
        <v>0</v>
      </c>
      <c r="R25" s="29" t="n">
        <f aca="false">SUM(N25,Q25)</f>
        <v>0</v>
      </c>
      <c r="S25" s="36"/>
      <c r="T25" s="36"/>
      <c r="U25" s="36"/>
      <c r="V25" s="36"/>
      <c r="W25" s="36"/>
      <c r="X25" s="31" t="n">
        <f aca="false">R25+S25-T25-U25-V25-W25</f>
        <v>0</v>
      </c>
    </row>
    <row r="26" customFormat="false" ht="15.75" hidden="false" customHeight="true" outlineLevel="0" collapsed="false">
      <c r="A26" s="50" t="n">
        <v>19</v>
      </c>
      <c r="B26" s="51"/>
      <c r="C26" s="21"/>
      <c r="D26" s="53"/>
      <c r="E26" s="53"/>
      <c r="F26" s="53"/>
      <c r="G26" s="53"/>
      <c r="H26" s="53"/>
      <c r="I26" s="53"/>
      <c r="J26" s="53"/>
      <c r="K26" s="46" t="n">
        <f aca="false">SUM(D26:J26)</f>
        <v>0</v>
      </c>
      <c r="L26" s="29" t="n">
        <v>1.75</v>
      </c>
      <c r="M26" s="27" t="n">
        <f aca="false">SUM(E26:J26)</f>
        <v>0</v>
      </c>
      <c r="N26" s="52" t="n">
        <f aca="false">L26*M26</f>
        <v>0</v>
      </c>
      <c r="O26" s="54" t="n">
        <f aca="false">D26</f>
        <v>0</v>
      </c>
      <c r="P26" s="29" t="n">
        <v>2.35</v>
      </c>
      <c r="Q26" s="29" t="n">
        <f aca="false">(P26*D26)</f>
        <v>0</v>
      </c>
      <c r="R26" s="29" t="n">
        <f aca="false">SUM(N26,Q26)</f>
        <v>0</v>
      </c>
      <c r="S26" s="36"/>
      <c r="T26" s="36"/>
      <c r="U26" s="36"/>
      <c r="V26" s="36"/>
      <c r="W26" s="36"/>
      <c r="X26" s="31" t="n">
        <f aca="false">R26+S26-T26-U26-V26-W26</f>
        <v>0</v>
      </c>
    </row>
    <row r="27" customFormat="false" ht="15.75" hidden="false" customHeight="true" outlineLevel="0" collapsed="false">
      <c r="A27" s="50"/>
      <c r="B27" s="51"/>
      <c r="C27" s="21"/>
      <c r="D27" s="53"/>
      <c r="E27" s="53"/>
      <c r="F27" s="53"/>
      <c r="G27" s="53"/>
      <c r="H27" s="53"/>
      <c r="I27" s="53"/>
      <c r="J27" s="53"/>
      <c r="K27" s="46" t="n">
        <f aca="false">SUM(D27:J27)</f>
        <v>0</v>
      </c>
      <c r="L27" s="29" t="n">
        <v>1.75</v>
      </c>
      <c r="M27" s="27" t="n">
        <f aca="false">SUM(E27:J27)</f>
        <v>0</v>
      </c>
      <c r="N27" s="52" t="n">
        <f aca="false">L27*M27</f>
        <v>0</v>
      </c>
      <c r="O27" s="54" t="n">
        <f aca="false">D27</f>
        <v>0</v>
      </c>
      <c r="P27" s="29" t="n">
        <v>1.85</v>
      </c>
      <c r="Q27" s="29" t="n">
        <f aca="false">(P27*D27)</f>
        <v>0</v>
      </c>
      <c r="R27" s="29"/>
      <c r="S27" s="36"/>
      <c r="T27" s="36"/>
      <c r="U27" s="36"/>
      <c r="V27" s="36"/>
      <c r="W27" s="36"/>
      <c r="X27" s="31"/>
    </row>
    <row r="28" customFormat="false" ht="15.75" hidden="false" customHeight="true" outlineLevel="0" collapsed="false">
      <c r="A28" s="50" t="n">
        <v>20</v>
      </c>
      <c r="B28" s="51"/>
      <c r="C28" s="21"/>
      <c r="D28" s="53"/>
      <c r="E28" s="53"/>
      <c r="F28" s="53"/>
      <c r="G28" s="53"/>
      <c r="H28" s="53"/>
      <c r="I28" s="53"/>
      <c r="J28" s="53"/>
      <c r="K28" s="46" t="n">
        <f aca="false">SUM(D28:J28)</f>
        <v>0</v>
      </c>
      <c r="L28" s="29" t="n">
        <v>1.75</v>
      </c>
      <c r="M28" s="27" t="n">
        <f aca="false">SUM(E28:J28)</f>
        <v>0</v>
      </c>
      <c r="N28" s="52" t="n">
        <f aca="false">L28*M28</f>
        <v>0</v>
      </c>
      <c r="O28" s="54" t="n">
        <f aca="false">D28</f>
        <v>0</v>
      </c>
      <c r="P28" s="29" t="n">
        <v>1.85</v>
      </c>
      <c r="Q28" s="29" t="n">
        <f aca="false">(P28*D28)</f>
        <v>0</v>
      </c>
      <c r="R28" s="29" t="n">
        <f aca="false">SUM(N28,Q28)</f>
        <v>0</v>
      </c>
      <c r="S28" s="42" t="n">
        <v>427</v>
      </c>
      <c r="T28" s="36"/>
      <c r="U28" s="36"/>
      <c r="V28" s="36"/>
      <c r="W28" s="36"/>
      <c r="X28" s="31" t="n">
        <f aca="false">R28+S28-T28-U28-V28-W28</f>
        <v>427</v>
      </c>
    </row>
    <row r="29" customFormat="false" ht="15.75" hidden="false" customHeight="true" outlineLevel="0" collapsed="false">
      <c r="A29" s="50"/>
      <c r="B29" s="55"/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31" t="n">
        <f aca="false">R29+S29-T29-U29-V29-W29</f>
        <v>0</v>
      </c>
    </row>
    <row r="30" customFormat="false" ht="15.75" hidden="false" customHeight="true" outlineLevel="0" collapsed="false">
      <c r="A30" s="50"/>
      <c r="B30" s="56" t="s">
        <v>26</v>
      </c>
      <c r="C30" s="57" t="s">
        <v>27</v>
      </c>
      <c r="D30" s="57"/>
      <c r="E30" s="58" t="s">
        <v>28</v>
      </c>
      <c r="F30" s="58"/>
      <c r="G30" s="58"/>
      <c r="H30" s="58"/>
      <c r="I30" s="58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31" t="n">
        <f aca="false">R30+S30-T30-U30-V30-W30</f>
        <v>0</v>
      </c>
    </row>
    <row r="31" customFormat="false" ht="15.75" hidden="false" customHeight="true" outlineLevel="0" collapsed="false">
      <c r="A31" s="50" t="n">
        <v>21</v>
      </c>
      <c r="B31" s="20"/>
      <c r="C31" s="21"/>
      <c r="D31" s="46"/>
      <c r="E31" s="46"/>
      <c r="F31" s="46"/>
      <c r="G31" s="46"/>
      <c r="H31" s="46"/>
      <c r="I31" s="46"/>
      <c r="J31" s="46"/>
      <c r="K31" s="46" t="n">
        <f aca="false">SUM(D31:J31)</f>
        <v>0</v>
      </c>
      <c r="L31" s="52" t="n">
        <v>1.75</v>
      </c>
      <c r="M31" s="25" t="n">
        <f aca="false">SUM(E31:J31)</f>
        <v>0</v>
      </c>
      <c r="N31" s="60" t="n">
        <f aca="false">SUM(E31:J31)</f>
        <v>0</v>
      </c>
      <c r="O31" s="25" t="n">
        <f aca="false">D31</f>
        <v>0</v>
      </c>
      <c r="P31" s="60" t="n">
        <v>1.85</v>
      </c>
      <c r="Q31" s="60" t="n">
        <f aca="false">O31*P31</f>
        <v>0</v>
      </c>
      <c r="R31" s="60" t="n">
        <f aca="false">Q31+N31</f>
        <v>0</v>
      </c>
      <c r="S31" s="60"/>
      <c r="T31" s="27"/>
      <c r="U31" s="55"/>
      <c r="V31" s="55"/>
      <c r="W31" s="55"/>
      <c r="X31" s="31" t="n">
        <f aca="false">R31+S31-T31-U31-V31-W31</f>
        <v>0</v>
      </c>
    </row>
    <row r="32" customFormat="false" ht="15.75" hidden="false" customHeight="true" outlineLevel="0" collapsed="false">
      <c r="A32" s="50" t="n">
        <v>22</v>
      </c>
      <c r="B32" s="20"/>
      <c r="C32" s="21"/>
      <c r="D32" s="46"/>
      <c r="E32" s="46"/>
      <c r="F32" s="46"/>
      <c r="G32" s="46"/>
      <c r="H32" s="46"/>
      <c r="I32" s="46"/>
      <c r="J32" s="46"/>
      <c r="K32" s="46" t="n">
        <f aca="false">SUM(D32:J32)</f>
        <v>0</v>
      </c>
      <c r="L32" s="52" t="n">
        <v>1.75</v>
      </c>
      <c r="M32" s="25" t="n">
        <f aca="false">SUM(E32:J32)</f>
        <v>0</v>
      </c>
      <c r="N32" s="60" t="n">
        <f aca="false">L32*M32</f>
        <v>0</v>
      </c>
      <c r="O32" s="25" t="n">
        <f aca="false">D32</f>
        <v>0</v>
      </c>
      <c r="P32" s="35" t="n">
        <v>1.85</v>
      </c>
      <c r="Q32" s="60" t="n">
        <f aca="false">O32*P32</f>
        <v>0</v>
      </c>
      <c r="R32" s="60" t="n">
        <f aca="false">Q32+N32</f>
        <v>0</v>
      </c>
      <c r="S32" s="60"/>
      <c r="T32" s="27" t="n">
        <v>300</v>
      </c>
      <c r="U32" s="55"/>
      <c r="V32" s="55"/>
      <c r="W32" s="55"/>
      <c r="X32" s="31" t="n">
        <f aca="false">R32+S32-T32-U32-V32-W32</f>
        <v>-300</v>
      </c>
    </row>
    <row r="33" customFormat="false" ht="15.75" hidden="false" customHeight="true" outlineLevel="0" collapsed="false">
      <c r="A33" s="39" t="n">
        <v>23</v>
      </c>
      <c r="B33" s="61"/>
      <c r="C33" s="21"/>
      <c r="D33" s="46"/>
      <c r="E33" s="46"/>
      <c r="F33" s="46"/>
      <c r="G33" s="46"/>
      <c r="H33" s="46"/>
      <c r="I33" s="46"/>
      <c r="J33" s="46"/>
      <c r="K33" s="46" t="n">
        <f aca="false">SUM(D33:J33)</f>
        <v>0</v>
      </c>
      <c r="L33" s="52" t="n">
        <v>1.75</v>
      </c>
      <c r="M33" s="25" t="n">
        <f aca="false">SUM(E33:J33)</f>
        <v>0</v>
      </c>
      <c r="N33" s="60" t="n">
        <f aca="false">L33*M33</f>
        <v>0</v>
      </c>
      <c r="O33" s="25" t="n">
        <f aca="false">D33</f>
        <v>0</v>
      </c>
      <c r="P33" s="60" t="n">
        <v>1.85</v>
      </c>
      <c r="Q33" s="60" t="n">
        <f aca="false">O33*P33</f>
        <v>0</v>
      </c>
      <c r="R33" s="60" t="n">
        <f aca="false">Q33+N33</f>
        <v>0</v>
      </c>
      <c r="S33" s="60"/>
      <c r="T33" s="27"/>
      <c r="U33" s="55"/>
      <c r="V33" s="55"/>
      <c r="W33" s="55"/>
      <c r="X33" s="31" t="n">
        <f aca="false">R33+S33-T33-U33-V33-W33</f>
        <v>0</v>
      </c>
    </row>
    <row r="34" customFormat="false" ht="15.75" hidden="false" customHeight="true" outlineLevel="0" collapsed="false">
      <c r="A34" s="39"/>
      <c r="B34" s="61"/>
      <c r="C34" s="21"/>
      <c r="D34" s="46"/>
      <c r="E34" s="46"/>
      <c r="F34" s="46"/>
      <c r="G34" s="46"/>
      <c r="H34" s="46"/>
      <c r="I34" s="46"/>
      <c r="J34" s="46"/>
      <c r="K34" s="46" t="n">
        <f aca="false">SUM(D34:J34)</f>
        <v>0</v>
      </c>
      <c r="L34" s="52" t="n">
        <v>1.75</v>
      </c>
      <c r="M34" s="25" t="n">
        <f aca="false">SUM(E34:J34)</f>
        <v>0</v>
      </c>
      <c r="N34" s="60" t="n">
        <f aca="false">L34*M34</f>
        <v>0</v>
      </c>
      <c r="O34" s="25" t="n">
        <f aca="false">D34</f>
        <v>0</v>
      </c>
      <c r="P34" s="60" t="n">
        <v>1.85</v>
      </c>
      <c r="Q34" s="60" t="n">
        <f aca="false">O34*P34</f>
        <v>0</v>
      </c>
      <c r="R34" s="60" t="n">
        <f aca="false">Q34+N34</f>
        <v>0</v>
      </c>
      <c r="S34" s="60"/>
      <c r="T34" s="27"/>
      <c r="U34" s="55"/>
      <c r="V34" s="55"/>
      <c r="W34" s="55"/>
      <c r="X34" s="31" t="n">
        <f aca="false">R34+S34-T34-U34-V34-W34</f>
        <v>0</v>
      </c>
    </row>
    <row r="35" customFormat="false" ht="15.75" hidden="false" customHeight="true" outlineLevel="0" collapsed="false">
      <c r="A35" s="50" t="n">
        <v>24</v>
      </c>
      <c r="B35" s="20"/>
      <c r="C35" s="21"/>
      <c r="D35" s="46"/>
      <c r="E35" s="46"/>
      <c r="F35" s="46"/>
      <c r="G35" s="46"/>
      <c r="H35" s="46"/>
      <c r="I35" s="46"/>
      <c r="J35" s="46"/>
      <c r="K35" s="46" t="n">
        <f aca="false">SUM(D35:J35)</f>
        <v>0</v>
      </c>
      <c r="L35" s="52" t="n">
        <v>1.75</v>
      </c>
      <c r="M35" s="25" t="n">
        <f aca="false">SUM(E35:J35)</f>
        <v>0</v>
      </c>
      <c r="N35" s="60" t="n">
        <f aca="false">L35*M35</f>
        <v>0</v>
      </c>
      <c r="O35" s="25" t="n">
        <f aca="false">D35</f>
        <v>0</v>
      </c>
      <c r="P35" s="60" t="n">
        <v>1.85</v>
      </c>
      <c r="Q35" s="60" t="n">
        <f aca="false">O35*P35</f>
        <v>0</v>
      </c>
      <c r="R35" s="60" t="n">
        <f aca="false">Q35+N35</f>
        <v>0</v>
      </c>
      <c r="S35" s="60"/>
      <c r="T35" s="27"/>
      <c r="U35" s="55"/>
      <c r="V35" s="55"/>
      <c r="W35" s="55"/>
      <c r="X35" s="31" t="n">
        <v>625.25</v>
      </c>
    </row>
    <row r="36" customFormat="false" ht="15.75" hidden="false" customHeight="true" outlineLevel="0" collapsed="false">
      <c r="A36" s="50"/>
      <c r="B36" s="20"/>
      <c r="C36" s="21"/>
      <c r="D36" s="46"/>
      <c r="E36" s="46"/>
      <c r="F36" s="46"/>
      <c r="G36" s="46"/>
      <c r="H36" s="46"/>
      <c r="I36" s="46"/>
      <c r="J36" s="46"/>
      <c r="K36" s="46" t="n">
        <f aca="false">SUM(D36:J36)</f>
        <v>0</v>
      </c>
      <c r="L36" s="52" t="n">
        <v>1.75</v>
      </c>
      <c r="M36" s="25" t="n">
        <f aca="false">SUM(E36:J36)</f>
        <v>0</v>
      </c>
      <c r="N36" s="60" t="n">
        <f aca="false">L36*M36</f>
        <v>0</v>
      </c>
      <c r="O36" s="25" t="n">
        <f aca="false">D36</f>
        <v>0</v>
      </c>
      <c r="P36" s="60" t="n">
        <v>1.85</v>
      </c>
      <c r="Q36" s="60" t="n">
        <f aca="false">O36*P36</f>
        <v>0</v>
      </c>
      <c r="R36" s="60" t="n">
        <f aca="false">Q36+N36</f>
        <v>0</v>
      </c>
      <c r="S36" s="62"/>
      <c r="T36" s="63"/>
      <c r="U36" s="64"/>
      <c r="V36" s="64"/>
      <c r="W36" s="64"/>
      <c r="X36" s="65"/>
    </row>
    <row r="37" customFormat="false" ht="15.75" hidden="false" customHeight="true" outlineLevel="0" collapsed="false">
      <c r="A37" s="50" t="n">
        <v>25</v>
      </c>
      <c r="B37" s="20"/>
      <c r="C37" s="21"/>
      <c r="D37" s="46"/>
      <c r="E37" s="46"/>
      <c r="F37" s="46"/>
      <c r="G37" s="46"/>
      <c r="H37" s="46"/>
      <c r="I37" s="46"/>
      <c r="J37" s="46"/>
      <c r="K37" s="66"/>
      <c r="L37" s="52" t="n">
        <v>1.75</v>
      </c>
      <c r="M37" s="25" t="n">
        <f aca="false">SUM(E37:J37)</f>
        <v>0</v>
      </c>
      <c r="N37" s="62"/>
      <c r="O37" s="67" t="n">
        <f aca="false">D37</f>
        <v>0</v>
      </c>
      <c r="P37" s="62"/>
      <c r="Q37" s="62"/>
      <c r="R37" s="60" t="n">
        <f aca="false">Q37+N37</f>
        <v>0</v>
      </c>
      <c r="S37" s="68"/>
      <c r="T37" s="68"/>
      <c r="U37" s="68"/>
      <c r="V37" s="68"/>
      <c r="W37" s="68"/>
      <c r="X37" s="65" t="n">
        <f aca="false">R37+S37-T37-U37-V37-W37</f>
        <v>0</v>
      </c>
    </row>
    <row r="38" s="69" customFormat="true" ht="15.75" hidden="false" customHeight="true" outlineLevel="0" collapsed="false">
      <c r="B38" s="56" t="s">
        <v>29</v>
      </c>
      <c r="C38" s="56"/>
      <c r="D38" s="46"/>
      <c r="E38" s="46"/>
      <c r="F38" s="46"/>
      <c r="G38" s="46"/>
      <c r="H38" s="46"/>
      <c r="I38" s="46"/>
      <c r="J38" s="46"/>
      <c r="K38" s="35"/>
      <c r="L38" s="60"/>
      <c r="M38" s="25" t="n">
        <f aca="false">SUM(E38:J38)</f>
        <v>0</v>
      </c>
      <c r="N38" s="60"/>
      <c r="O38" s="25"/>
      <c r="P38" s="60"/>
      <c r="Q38" s="60"/>
      <c r="R38" s="60" t="n">
        <f aca="false">Q38+N38</f>
        <v>0</v>
      </c>
      <c r="S38" s="36"/>
      <c r="T38" s="36"/>
      <c r="U38" s="36"/>
      <c r="V38" s="36"/>
      <c r="W38" s="36"/>
      <c r="X38" s="31" t="n">
        <f aca="false">R38+S38-T38-U38-V38-W38</f>
        <v>0</v>
      </c>
    </row>
    <row r="39" s="69" customFormat="true" ht="15.75" hidden="false" customHeight="true" outlineLevel="0" collapsed="false">
      <c r="A39" s="70" t="n">
        <v>26</v>
      </c>
      <c r="B39" s="71"/>
      <c r="C39" s="72"/>
      <c r="D39" s="46"/>
      <c r="E39" s="46"/>
      <c r="F39" s="46"/>
      <c r="G39" s="46"/>
      <c r="H39" s="46"/>
      <c r="I39" s="46"/>
      <c r="J39" s="46"/>
      <c r="K39" s="46" t="n">
        <f aca="false">SUM(D39:J39)</f>
        <v>0</v>
      </c>
      <c r="L39" s="73" t="n">
        <f aca="false">SUM(E39:J39)</f>
        <v>0</v>
      </c>
      <c r="M39" s="60" t="n">
        <v>1.75</v>
      </c>
      <c r="N39" s="60" t="n">
        <f aca="false">D39</f>
        <v>0</v>
      </c>
      <c r="O39" s="25" t="n">
        <f aca="false">D39</f>
        <v>0</v>
      </c>
      <c r="P39" s="60" t="n">
        <v>1.85</v>
      </c>
      <c r="Q39" s="60" t="n">
        <f aca="false">O39*P39</f>
        <v>0</v>
      </c>
      <c r="R39" s="60" t="n">
        <f aca="false">Q39+N39</f>
        <v>0</v>
      </c>
      <c r="S39" s="36"/>
      <c r="T39" s="36"/>
      <c r="U39" s="36"/>
      <c r="V39" s="36"/>
      <c r="W39" s="36"/>
      <c r="X39" s="31" t="n">
        <f aca="false">R39+S39-T39-U39-V39-W39</f>
        <v>0</v>
      </c>
    </row>
    <row r="40" customFormat="false" ht="15.75" hidden="false" customHeight="true" outlineLevel="0" collapsed="false">
      <c r="B40" s="8"/>
      <c r="C40" s="8"/>
      <c r="D40" s="8"/>
      <c r="E40" s="10"/>
      <c r="F40" s="10"/>
      <c r="G40" s="10"/>
      <c r="H40" s="10"/>
      <c r="I40" s="10"/>
      <c r="J40" s="10"/>
      <c r="K40" s="10"/>
      <c r="L40" s="74"/>
      <c r="M40" s="75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76" t="s">
        <v>30</v>
      </c>
    </row>
    <row r="41" customFormat="false" ht="15.75" hidden="false" customHeight="true" outlineLevel="0" collapsed="false">
      <c r="B41" s="8"/>
      <c r="C41" s="8"/>
      <c r="D41" s="8"/>
      <c r="E41" s="10"/>
      <c r="F41" s="10"/>
      <c r="G41" s="10"/>
      <c r="H41" s="10"/>
      <c r="I41" s="10"/>
      <c r="J41" s="10"/>
      <c r="K41" s="10"/>
      <c r="L41" s="74"/>
      <c r="M41" s="75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76" t="n">
        <f aca="false">SUM(X5:X28)</f>
        <v>1017.5</v>
      </c>
    </row>
    <row r="42" customFormat="false" ht="15" hidden="false" customHeight="false" outlineLevel="0" collapsed="false">
      <c r="B42" s="77"/>
      <c r="C42" s="9"/>
      <c r="D42" s="78"/>
      <c r="E42" s="78"/>
      <c r="F42" s="78"/>
      <c r="G42" s="78"/>
      <c r="H42" s="78"/>
      <c r="I42" s="78"/>
      <c r="J42" s="79"/>
      <c r="K42" s="79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</row>
    <row r="43" customFormat="false" ht="15" hidden="false" customHeight="false" outlineLevel="0" collapsed="false">
      <c r="B43" s="77"/>
      <c r="C43" s="9"/>
      <c r="D43" s="78"/>
      <c r="E43" s="78"/>
      <c r="F43" s="78"/>
      <c r="G43" s="78"/>
      <c r="H43" s="78"/>
      <c r="I43" s="78"/>
      <c r="J43" s="79"/>
      <c r="K43" s="79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</row>
    <row r="44" customFormat="false" ht="15" hidden="false" customHeight="false" outlineLevel="0" collapsed="false">
      <c r="B44" s="77"/>
      <c r="C44" s="9"/>
      <c r="D44" s="78"/>
      <c r="E44" s="78"/>
      <c r="F44" s="78"/>
      <c r="G44" s="78"/>
      <c r="H44" s="78"/>
      <c r="I44" s="78"/>
      <c r="J44" s="79"/>
      <c r="K44" s="79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</row>
    <row r="45" customFormat="false" ht="15.75" hidden="false" customHeight="true" outlineLevel="0" collapsed="false">
      <c r="B45" s="81" t="s">
        <v>31</v>
      </c>
      <c r="C45" s="82"/>
      <c r="D45" s="82"/>
      <c r="E45" s="82"/>
      <c r="F45" s="82"/>
      <c r="G45" s="82"/>
      <c r="H45" s="82"/>
      <c r="I45" s="83"/>
      <c r="J45" s="84"/>
      <c r="K45" s="84"/>
      <c r="L45" s="85"/>
      <c r="M45" s="85"/>
      <c r="N45" s="85"/>
      <c r="O45" s="85"/>
      <c r="P45" s="85"/>
      <c r="Q45" s="85"/>
      <c r="R45" s="85"/>
      <c r="S45" s="86" t="s">
        <v>32</v>
      </c>
      <c r="T45" s="85"/>
      <c r="U45" s="85"/>
      <c r="V45" s="85"/>
      <c r="W45" s="85"/>
      <c r="X45" s="85"/>
    </row>
    <row r="46" customFormat="false" ht="15.75" hidden="false" customHeight="true" outlineLevel="0" collapsed="false">
      <c r="B46" s="81"/>
      <c r="C46" s="82"/>
      <c r="D46" s="82" t="s">
        <v>17</v>
      </c>
      <c r="E46" s="82" t="s">
        <v>18</v>
      </c>
      <c r="F46" s="82" t="s">
        <v>33</v>
      </c>
      <c r="G46" s="82" t="s">
        <v>20</v>
      </c>
      <c r="H46" s="82" t="s">
        <v>21</v>
      </c>
      <c r="I46" s="82" t="s">
        <v>22</v>
      </c>
      <c r="J46" s="82" t="s">
        <v>23</v>
      </c>
      <c r="K46" s="84"/>
      <c r="L46" s="85"/>
      <c r="M46" s="85"/>
      <c r="N46" s="85"/>
      <c r="O46" s="85"/>
      <c r="P46" s="85"/>
      <c r="Q46" s="85"/>
      <c r="R46" s="85"/>
      <c r="S46" s="86"/>
      <c r="T46" s="85"/>
      <c r="U46" s="85"/>
      <c r="V46" s="85"/>
      <c r="W46" s="85"/>
      <c r="X46" s="85"/>
    </row>
    <row r="47" customFormat="false" ht="17.35" hidden="false" customHeight="false" outlineLevel="0" collapsed="false">
      <c r="A47" s="1" t="n">
        <v>1</v>
      </c>
      <c r="B47" s="87"/>
      <c r="C47" s="88"/>
      <c r="D47" s="89"/>
      <c r="E47" s="89"/>
      <c r="F47" s="89"/>
      <c r="G47" s="89"/>
      <c r="H47" s="89"/>
      <c r="I47" s="89"/>
      <c r="J47" s="89"/>
      <c r="K47" s="8" t="n">
        <f aca="false">SUM(D47:J47)</f>
        <v>0</v>
      </c>
      <c r="L47" s="90" t="n">
        <v>2.1</v>
      </c>
      <c r="M47" s="91" t="n">
        <f aca="false">SUM(E47:J47)</f>
        <v>0</v>
      </c>
      <c r="N47" s="90" t="n">
        <f aca="false">L47*M47</f>
        <v>0</v>
      </c>
      <c r="O47" s="91" t="n">
        <f aca="false">SUM(D47)</f>
        <v>0</v>
      </c>
      <c r="P47" s="90" t="n">
        <v>2.2</v>
      </c>
      <c r="Q47" s="90" t="n">
        <f aca="false">(P47*O47)</f>
        <v>0</v>
      </c>
      <c r="R47" s="90" t="n">
        <f aca="false">SUM(N47,Q47)</f>
        <v>0</v>
      </c>
      <c r="S47" s="11"/>
      <c r="T47" s="11"/>
      <c r="U47" s="11"/>
      <c r="V47" s="11"/>
      <c r="W47" s="11"/>
      <c r="X47" s="92" t="n">
        <f aca="false">R47+S47-T47-U47-V47-W47</f>
        <v>0</v>
      </c>
    </row>
    <row r="48" customFormat="false" ht="17.35" hidden="false" customHeight="false" outlineLevel="0" collapsed="false">
      <c r="A48" s="39" t="n">
        <v>2</v>
      </c>
      <c r="B48" s="93"/>
      <c r="C48" s="94"/>
      <c r="K48" s="8" t="n">
        <f aca="false">SUM(D48:J48)</f>
        <v>0</v>
      </c>
      <c r="L48" s="95" t="n">
        <v>2.1</v>
      </c>
      <c r="M48" s="91" t="n">
        <f aca="false">SUM(E48:J48)</f>
        <v>0</v>
      </c>
      <c r="N48" s="90" t="n">
        <f aca="false">L48*M48</f>
        <v>0</v>
      </c>
      <c r="O48" s="91" t="n">
        <f aca="false">SUM(D48)</f>
        <v>0</v>
      </c>
      <c r="P48" s="95" t="n">
        <v>2.2</v>
      </c>
      <c r="Q48" s="90" t="n">
        <f aca="false">(P48*O48)</f>
        <v>0</v>
      </c>
      <c r="R48" s="90" t="n">
        <f aca="false">SUM(N48,Q48)</f>
        <v>0</v>
      </c>
      <c r="S48" s="11" t="n">
        <v>200</v>
      </c>
      <c r="T48" s="11"/>
      <c r="U48" s="11"/>
      <c r="V48" s="11"/>
      <c r="W48" s="11"/>
      <c r="X48" s="92" t="n">
        <f aca="false">R48+S48-T48-U48-V48-W48</f>
        <v>200</v>
      </c>
    </row>
    <row r="49" customFormat="false" ht="17.35" hidden="false" customHeight="false" outlineLevel="0" collapsed="false">
      <c r="A49" s="39"/>
      <c r="B49" s="93"/>
      <c r="C49" s="94"/>
      <c r="D49" s="89"/>
      <c r="E49" s="89"/>
      <c r="F49" s="89"/>
      <c r="G49" s="89"/>
      <c r="H49" s="89"/>
      <c r="I49" s="89"/>
      <c r="J49" s="89"/>
      <c r="K49" s="8" t="n">
        <f aca="false">SUM(D49:J49)</f>
        <v>0</v>
      </c>
      <c r="L49" s="95" t="n">
        <v>2.1</v>
      </c>
      <c r="M49" s="91" t="n">
        <f aca="false">SUM(E49:J49)</f>
        <v>0</v>
      </c>
      <c r="N49" s="90" t="n">
        <f aca="false">L49*M49</f>
        <v>0</v>
      </c>
      <c r="O49" s="91" t="n">
        <f aca="false">SUM(D49)</f>
        <v>0</v>
      </c>
      <c r="P49" s="95"/>
      <c r="Q49" s="90" t="n">
        <f aca="false">(P49*O49)</f>
        <v>0</v>
      </c>
      <c r="R49" s="90" t="n">
        <f aca="false">SUM(N49,Q49)</f>
        <v>0</v>
      </c>
      <c r="S49" s="11"/>
      <c r="T49" s="11"/>
      <c r="U49" s="11"/>
      <c r="V49" s="11"/>
      <c r="W49" s="11"/>
      <c r="X49" s="92" t="n">
        <f aca="false">R49+S49-T49-U49-V49-W49</f>
        <v>0</v>
      </c>
    </row>
    <row r="50" customFormat="false" ht="17.35" hidden="false" customHeight="false" outlineLevel="0" collapsed="false">
      <c r="A50" s="1" t="n">
        <v>3</v>
      </c>
      <c r="B50" s="87"/>
      <c r="C50" s="94"/>
      <c r="K50" s="8" t="n">
        <f aca="false">SUM(D50:J50)</f>
        <v>0</v>
      </c>
      <c r="L50" s="90" t="n">
        <v>2.1</v>
      </c>
      <c r="M50" s="91" t="n">
        <f aca="false">SUM(E50:J50)</f>
        <v>0</v>
      </c>
      <c r="N50" s="90" t="n">
        <f aca="false">L50*M50</f>
        <v>0</v>
      </c>
      <c r="O50" s="91" t="n">
        <f aca="false">SUM(D50)</f>
        <v>0</v>
      </c>
      <c r="P50" s="90" t="n">
        <v>2.2</v>
      </c>
      <c r="Q50" s="90" t="n">
        <f aca="false">(P50*O50)</f>
        <v>0</v>
      </c>
      <c r="R50" s="90" t="n">
        <f aca="false">SUM(N50,Q50)</f>
        <v>0</v>
      </c>
      <c r="S50" s="11"/>
      <c r="T50" s="11"/>
      <c r="U50" s="11"/>
      <c r="V50" s="11"/>
      <c r="W50" s="11"/>
      <c r="X50" s="92" t="n">
        <f aca="false">R50+S50-T50-U50-V50-W50</f>
        <v>0</v>
      </c>
    </row>
    <row r="51" customFormat="false" ht="17.35" hidden="false" customHeight="false" outlineLevel="0" collapsed="false">
      <c r="A51" s="1" t="n">
        <v>4</v>
      </c>
      <c r="B51" s="87"/>
      <c r="C51" s="94"/>
      <c r="D51" s="89"/>
      <c r="E51" s="89"/>
      <c r="F51" s="89"/>
      <c r="G51" s="89"/>
      <c r="H51" s="89"/>
      <c r="I51" s="89"/>
      <c r="J51" s="89"/>
      <c r="K51" s="8" t="n">
        <f aca="false">SUM(D51:J51)</f>
        <v>0</v>
      </c>
      <c r="L51" s="96" t="n">
        <v>2.1</v>
      </c>
      <c r="M51" s="97" t="n">
        <f aca="false">SUM(E51:J51)</f>
        <v>0</v>
      </c>
      <c r="N51" s="96" t="n">
        <f aca="false">L51*M51</f>
        <v>0</v>
      </c>
      <c r="O51" s="97" t="n">
        <f aca="false">SUM(D51)</f>
        <v>0</v>
      </c>
      <c r="P51" s="96" t="n">
        <v>2.35</v>
      </c>
      <c r="Q51" s="96" t="n">
        <f aca="false">(P51*O51)</f>
        <v>0</v>
      </c>
      <c r="R51" s="98" t="n">
        <v>2000</v>
      </c>
      <c r="S51" s="99" t="n">
        <v>400</v>
      </c>
      <c r="T51" s="11"/>
      <c r="U51" s="11"/>
      <c r="V51" s="11"/>
      <c r="W51" s="11"/>
      <c r="X51" s="92" t="n">
        <f aca="false">R51+S51-T51-U51-V51-W51</f>
        <v>2400</v>
      </c>
    </row>
    <row r="52" customFormat="false" ht="17.35" hidden="false" customHeight="false" outlineLevel="0" collapsed="false">
      <c r="A52" s="1" t="n">
        <v>5</v>
      </c>
      <c r="B52" s="87"/>
      <c r="C52" s="94"/>
      <c r="D52" s="89"/>
      <c r="E52" s="89"/>
      <c r="F52" s="89"/>
      <c r="G52" s="89"/>
      <c r="H52" s="89"/>
      <c r="I52" s="89"/>
      <c r="J52" s="89"/>
      <c r="K52" s="8" t="n">
        <f aca="false">SUM(D52:J52)</f>
        <v>0</v>
      </c>
      <c r="L52" s="95" t="n">
        <v>2.1</v>
      </c>
      <c r="M52" s="91" t="n">
        <f aca="false">SUM(E52:J52)</f>
        <v>0</v>
      </c>
      <c r="N52" s="90" t="n">
        <f aca="false">L52*M52</f>
        <v>0</v>
      </c>
      <c r="O52" s="91" t="n">
        <f aca="false">SUM(D52)</f>
        <v>0</v>
      </c>
      <c r="P52" s="90" t="n">
        <v>2.2</v>
      </c>
      <c r="Q52" s="90" t="n">
        <f aca="false">(P52*O52)</f>
        <v>0</v>
      </c>
      <c r="R52" s="90" t="n">
        <f aca="false">SUM(N52,Q52)</f>
        <v>0</v>
      </c>
      <c r="S52" s="100"/>
      <c r="T52" s="90" t="n">
        <v>300</v>
      </c>
      <c r="U52" s="11"/>
      <c r="V52" s="11"/>
      <c r="W52" s="11"/>
      <c r="X52" s="92" t="n">
        <f aca="false">R52+S52-T52-U52-V52-W52</f>
        <v>-300</v>
      </c>
    </row>
    <row r="53" customFormat="false" ht="17.35" hidden="false" customHeight="false" outlineLevel="0" collapsed="false">
      <c r="A53" s="1" t="n">
        <v>6</v>
      </c>
      <c r="B53" s="87"/>
      <c r="C53" s="88"/>
      <c r="D53" s="89"/>
      <c r="E53" s="89"/>
      <c r="F53" s="89"/>
      <c r="G53" s="89"/>
      <c r="H53" s="89"/>
      <c r="I53" s="89"/>
      <c r="J53" s="89"/>
      <c r="K53" s="8" t="n">
        <f aca="false">SUM(D53:J53)</f>
        <v>0</v>
      </c>
      <c r="L53" s="90" t="n">
        <v>2.1</v>
      </c>
      <c r="M53" s="91" t="n">
        <f aca="false">SUM(E53:J53)</f>
        <v>0</v>
      </c>
      <c r="N53" s="90" t="n">
        <f aca="false">L53*M53</f>
        <v>0</v>
      </c>
      <c r="O53" s="91" t="n">
        <f aca="false">SUM(D53)</f>
        <v>0</v>
      </c>
      <c r="P53" s="90" t="n">
        <v>2.2</v>
      </c>
      <c r="Q53" s="90" t="n">
        <f aca="false">(P53*O53)</f>
        <v>0</v>
      </c>
      <c r="R53" s="90" t="n">
        <f aca="false">SUM(N53,Q53)</f>
        <v>0</v>
      </c>
      <c r="S53" s="11"/>
      <c r="T53" s="11"/>
      <c r="U53" s="11"/>
      <c r="V53" s="11"/>
      <c r="W53" s="11"/>
      <c r="X53" s="92" t="n">
        <f aca="false">R53+S53-T53-U53-V53-W53</f>
        <v>0</v>
      </c>
    </row>
    <row r="54" customFormat="false" ht="17.35" hidden="false" customHeight="false" outlineLevel="0" collapsed="false">
      <c r="A54" s="1" t="n">
        <v>7</v>
      </c>
      <c r="B54" s="87"/>
      <c r="C54" s="94"/>
      <c r="D54" s="89"/>
      <c r="E54" s="89"/>
      <c r="F54" s="89"/>
      <c r="G54" s="89"/>
      <c r="H54" s="89"/>
      <c r="I54" s="89"/>
      <c r="J54" s="89"/>
      <c r="K54" s="8" t="n">
        <f aca="false">SUM(D54:J54)</f>
        <v>0</v>
      </c>
      <c r="L54" s="90" t="n">
        <v>2.1</v>
      </c>
      <c r="M54" s="91" t="n">
        <f aca="false">SUM(E54:J54)</f>
        <v>0</v>
      </c>
      <c r="N54" s="90" t="n">
        <f aca="false">L54*M54</f>
        <v>0</v>
      </c>
      <c r="O54" s="91" t="n">
        <f aca="false">SUM(D54)</f>
        <v>0</v>
      </c>
      <c r="P54" s="90" t="n">
        <v>2.2</v>
      </c>
      <c r="Q54" s="90" t="n">
        <f aca="false">(P54*O54)</f>
        <v>0</v>
      </c>
      <c r="R54" s="90" t="n">
        <f aca="false">SUM(N54,Q54)</f>
        <v>0</v>
      </c>
      <c r="S54" s="90"/>
      <c r="T54" s="100" t="n">
        <v>300</v>
      </c>
      <c r="U54" s="11"/>
      <c r="V54" s="11"/>
      <c r="W54" s="11"/>
      <c r="X54" s="92" t="n">
        <f aca="false">R54+S54-T54-U54-V54-W54</f>
        <v>-300</v>
      </c>
    </row>
    <row r="55" customFormat="false" ht="17.35" hidden="false" customHeight="false" outlineLevel="0" collapsed="false">
      <c r="A55" s="1" t="n">
        <v>8</v>
      </c>
      <c r="B55" s="87"/>
      <c r="C55" s="94"/>
      <c r="D55" s="89"/>
      <c r="E55" s="89"/>
      <c r="F55" s="89"/>
      <c r="G55" s="89"/>
      <c r="H55" s="89"/>
      <c r="I55" s="89"/>
      <c r="J55" s="89"/>
      <c r="K55" s="8" t="n">
        <f aca="false">SUM(D55:J55)</f>
        <v>0</v>
      </c>
      <c r="L55" s="90" t="n">
        <v>2.1</v>
      </c>
      <c r="M55" s="91" t="n">
        <f aca="false">SUM(E55:J55)</f>
        <v>0</v>
      </c>
      <c r="N55" s="90" t="n">
        <f aca="false">L55*M55</f>
        <v>0</v>
      </c>
      <c r="O55" s="91" t="n">
        <f aca="false">SUM(D55)</f>
        <v>0</v>
      </c>
      <c r="P55" s="90" t="n">
        <v>2.2</v>
      </c>
      <c r="Q55" s="90" t="n">
        <f aca="false">(P55*O55)</f>
        <v>0</v>
      </c>
      <c r="R55" s="90" t="n">
        <f aca="false">SUM(N55,Q55)</f>
        <v>0</v>
      </c>
      <c r="S55" s="95" t="n">
        <v>400</v>
      </c>
      <c r="T55" s="74"/>
      <c r="U55" s="11"/>
      <c r="V55" s="11"/>
      <c r="W55" s="11"/>
      <c r="X55" s="92" t="n">
        <f aca="false">R55+S55-T55-U55-V55-W55</f>
        <v>400</v>
      </c>
    </row>
    <row r="56" customFormat="false" ht="17.35" hidden="false" customHeight="false" outlineLevel="0" collapsed="false">
      <c r="A56" s="1" t="n">
        <v>9</v>
      </c>
      <c r="B56" s="87"/>
      <c r="C56" s="94"/>
      <c r="D56" s="89"/>
      <c r="E56" s="89"/>
      <c r="F56" s="89"/>
      <c r="G56" s="89"/>
      <c r="H56" s="89"/>
      <c r="I56" s="89"/>
      <c r="J56" s="89"/>
      <c r="K56" s="8" t="n">
        <f aca="false">SUM(D56:J56)</f>
        <v>0</v>
      </c>
      <c r="L56" s="90" t="n">
        <v>2.1</v>
      </c>
      <c r="M56" s="91" t="n">
        <f aca="false">SUM(E56:J56)</f>
        <v>0</v>
      </c>
      <c r="N56" s="90" t="n">
        <f aca="false">L56*M56</f>
        <v>0</v>
      </c>
      <c r="O56" s="91" t="n">
        <f aca="false">SUM(D56)</f>
        <v>0</v>
      </c>
      <c r="P56" s="90" t="n">
        <v>2.2</v>
      </c>
      <c r="Q56" s="90" t="n">
        <f aca="false">(P56*O56)</f>
        <v>0</v>
      </c>
      <c r="R56" s="90" t="n">
        <f aca="false">SUM(N56,Q56)</f>
        <v>0</v>
      </c>
      <c r="S56" s="8"/>
      <c r="T56" s="100" t="n">
        <v>300</v>
      </c>
      <c r="U56" s="8"/>
      <c r="V56" s="8"/>
      <c r="W56" s="8"/>
      <c r="X56" s="92" t="n">
        <f aca="false">R56+S56-T56-U56-V56-W56</f>
        <v>-300</v>
      </c>
    </row>
    <row r="57" customFormat="false" ht="17.35" hidden="false" customHeight="false" outlineLevel="0" collapsed="false">
      <c r="A57" s="1" t="n">
        <v>10</v>
      </c>
      <c r="B57" s="101"/>
      <c r="C57" s="61"/>
      <c r="D57" s="89"/>
      <c r="E57" s="89"/>
      <c r="F57" s="89"/>
      <c r="G57" s="89"/>
      <c r="H57" s="89"/>
      <c r="I57" s="89"/>
      <c r="J57" s="89"/>
      <c r="K57" s="8" t="n">
        <f aca="false">SUM(D57:J57)</f>
        <v>0</v>
      </c>
      <c r="L57" s="95" t="n">
        <v>2.1</v>
      </c>
      <c r="M57" s="91" t="n">
        <f aca="false">SUM(E57:J57)</f>
        <v>0</v>
      </c>
      <c r="N57" s="90" t="n">
        <f aca="false">L57*M57</f>
        <v>0</v>
      </c>
      <c r="O57" s="91" t="n">
        <f aca="false">SUM(D57)</f>
        <v>0</v>
      </c>
      <c r="P57" s="90"/>
      <c r="Q57" s="90" t="n">
        <f aca="false">(P57*O57)</f>
        <v>0</v>
      </c>
      <c r="R57" s="90" t="n">
        <f aca="false">SUM(N57,Q57)</f>
        <v>0</v>
      </c>
      <c r="S57" s="8"/>
      <c r="T57" s="100" t="n">
        <v>150</v>
      </c>
      <c r="U57" s="8"/>
      <c r="V57" s="8"/>
      <c r="W57" s="8"/>
      <c r="X57" s="92" t="n">
        <f aca="false">R57+S57-T57-U57-V57-W57</f>
        <v>-150</v>
      </c>
    </row>
    <row r="58" customFormat="false" ht="17.35" hidden="false" customHeight="false" outlineLevel="0" collapsed="false">
      <c r="A58" s="1" t="n">
        <v>11</v>
      </c>
      <c r="B58" s="101"/>
      <c r="C58" s="102"/>
      <c r="D58" s="89"/>
      <c r="E58" s="89"/>
      <c r="F58" s="89"/>
      <c r="G58" s="89"/>
      <c r="H58" s="89"/>
      <c r="I58" s="89"/>
      <c r="J58" s="89"/>
      <c r="K58" s="8" t="n">
        <f aca="false">SUM(D58:J58)</f>
        <v>0</v>
      </c>
      <c r="L58" s="90" t="n">
        <v>2.1</v>
      </c>
      <c r="M58" s="91" t="n">
        <f aca="false">SUM(E58:J58)</f>
        <v>0</v>
      </c>
      <c r="N58" s="90" t="n">
        <f aca="false">L58*M58</f>
        <v>0</v>
      </c>
      <c r="O58" s="91" t="n">
        <f aca="false">SUM(D58)</f>
        <v>0</v>
      </c>
      <c r="P58" s="90" t="n">
        <v>2.2</v>
      </c>
      <c r="Q58" s="90" t="n">
        <f aca="false">(P58*O58)</f>
        <v>0</v>
      </c>
      <c r="R58" s="90" t="n">
        <f aca="false">SUM(N58,Q58)</f>
        <v>0</v>
      </c>
      <c r="S58" s="11"/>
      <c r="T58" s="11"/>
      <c r="U58" s="11"/>
      <c r="V58" s="11"/>
      <c r="W58" s="11"/>
      <c r="X58" s="92" t="n">
        <f aca="false">R58+S58-T58-U58-V58-W58</f>
        <v>0</v>
      </c>
      <c r="Y58" s="41" t="n">
        <f aca="false">X57+X58</f>
        <v>-150</v>
      </c>
    </row>
    <row r="59" customFormat="false" ht="17.35" hidden="false" customHeight="false" outlineLevel="0" collapsed="false">
      <c r="A59" s="1" t="n">
        <v>12</v>
      </c>
      <c r="B59" s="87"/>
      <c r="C59" s="88"/>
      <c r="D59" s="89"/>
      <c r="E59" s="89"/>
      <c r="F59" s="89"/>
      <c r="G59" s="89"/>
      <c r="H59" s="89"/>
      <c r="I59" s="89"/>
      <c r="J59" s="89"/>
      <c r="K59" s="8" t="n">
        <f aca="false">SUM(D59:J59)</f>
        <v>0</v>
      </c>
      <c r="L59" s="95" t="n">
        <v>2.1</v>
      </c>
      <c r="M59" s="91" t="n">
        <f aca="false">SUM(E59:J59)</f>
        <v>0</v>
      </c>
      <c r="N59" s="90" t="n">
        <f aca="false">L59*M59</f>
        <v>0</v>
      </c>
      <c r="O59" s="91" t="n">
        <f aca="false">SUM(D59)</f>
        <v>0</v>
      </c>
      <c r="P59" s="11"/>
      <c r="Q59" s="90" t="n">
        <f aca="false">(P59*O59)</f>
        <v>0</v>
      </c>
      <c r="R59" s="90" t="n">
        <f aca="false">SUM(N59,Q59)</f>
        <v>0</v>
      </c>
      <c r="S59" s="11"/>
      <c r="T59" s="11"/>
      <c r="U59" s="11"/>
      <c r="V59" s="11"/>
      <c r="W59" s="11"/>
      <c r="X59" s="92" t="n">
        <f aca="false">R59+S59-T59-U59-V59-W59</f>
        <v>0</v>
      </c>
    </row>
    <row r="60" customFormat="false" ht="17.35" hidden="false" customHeight="false" outlineLevel="0" collapsed="false">
      <c r="A60" s="103" t="n">
        <v>14</v>
      </c>
      <c r="B60" s="104"/>
      <c r="C60" s="88"/>
      <c r="D60" s="89"/>
      <c r="E60" s="89"/>
      <c r="F60" s="89"/>
      <c r="G60" s="89"/>
      <c r="H60" s="89"/>
      <c r="I60" s="89"/>
      <c r="J60" s="89"/>
      <c r="K60" s="8" t="n">
        <f aca="false">SUM(D60:J60)</f>
        <v>0</v>
      </c>
      <c r="L60" s="90" t="n">
        <v>2.1</v>
      </c>
      <c r="M60" s="91" t="n">
        <f aca="false">SUM(E60:J60)</f>
        <v>0</v>
      </c>
      <c r="N60" s="90" t="n">
        <f aca="false">L60*M60</f>
        <v>0</v>
      </c>
      <c r="O60" s="91" t="n">
        <f aca="false">SUM(D60)</f>
        <v>0</v>
      </c>
      <c r="P60" s="90" t="n">
        <v>2.2</v>
      </c>
      <c r="Q60" s="90" t="n">
        <f aca="false">(P60*O60)</f>
        <v>0</v>
      </c>
      <c r="R60" s="90" t="n">
        <f aca="false">SUM(N60,Q60)</f>
        <v>0</v>
      </c>
      <c r="S60" s="11"/>
      <c r="T60" s="100" t="n">
        <v>300</v>
      </c>
      <c r="U60" s="11"/>
      <c r="V60" s="11"/>
      <c r="W60" s="11"/>
      <c r="X60" s="92" t="n">
        <f aca="false">R60+S60-T60-U60-V60-W60</f>
        <v>-300</v>
      </c>
    </row>
    <row r="61" customFormat="false" ht="17.35" hidden="false" customHeight="false" outlineLevel="0" collapsed="false">
      <c r="A61" s="103"/>
      <c r="B61" s="104"/>
      <c r="C61" s="61"/>
      <c r="D61" s="89"/>
      <c r="E61" s="89"/>
      <c r="F61" s="89"/>
      <c r="G61" s="89"/>
      <c r="H61" s="89"/>
      <c r="I61" s="89"/>
      <c r="J61" s="89"/>
      <c r="K61" s="8" t="n">
        <f aca="false">SUM(D61:J61)</f>
        <v>0</v>
      </c>
      <c r="L61" s="95" t="n">
        <v>2.1</v>
      </c>
      <c r="M61" s="91" t="n">
        <f aca="false">SUM(E61:J61)</f>
        <v>0</v>
      </c>
      <c r="N61" s="90" t="n">
        <f aca="false">L61*M61</f>
        <v>0</v>
      </c>
      <c r="O61" s="91" t="n">
        <f aca="false">SUM(D61)</f>
        <v>0</v>
      </c>
      <c r="P61" s="11"/>
      <c r="Q61" s="90" t="n">
        <f aca="false">(P61*O61)</f>
        <v>0</v>
      </c>
      <c r="R61" s="90" t="n">
        <f aca="false">SUM(N61,Q61)</f>
        <v>0</v>
      </c>
      <c r="S61" s="11"/>
      <c r="T61" s="11"/>
      <c r="U61" s="11"/>
      <c r="V61" s="11"/>
      <c r="W61" s="11"/>
      <c r="X61" s="92" t="n">
        <f aca="false">R61+S61-T61-U61-V61-W61</f>
        <v>0</v>
      </c>
    </row>
    <row r="62" customFormat="false" ht="17.35" hidden="false" customHeight="false" outlineLevel="0" collapsed="false">
      <c r="A62" s="1" t="n">
        <v>15</v>
      </c>
      <c r="B62" s="87"/>
      <c r="C62" s="88"/>
      <c r="D62" s="89"/>
      <c r="E62" s="89"/>
      <c r="F62" s="89"/>
      <c r="G62" s="89"/>
      <c r="H62" s="89"/>
      <c r="I62" s="89"/>
      <c r="J62" s="89"/>
      <c r="K62" s="8" t="n">
        <f aca="false">SUM(D62:J62)</f>
        <v>0</v>
      </c>
      <c r="L62" s="90" t="n">
        <v>2.1</v>
      </c>
      <c r="M62" s="91" t="n">
        <f aca="false">SUM(E62:J62)</f>
        <v>0</v>
      </c>
      <c r="N62" s="90" t="n">
        <f aca="false">L62*M62</f>
        <v>0</v>
      </c>
      <c r="O62" s="91" t="n">
        <f aca="false">SUM(D62)</f>
        <v>0</v>
      </c>
      <c r="P62" s="90" t="n">
        <v>2.2</v>
      </c>
      <c r="Q62" s="90" t="n">
        <f aca="false">(P62*O62)</f>
        <v>0</v>
      </c>
      <c r="R62" s="90" t="n">
        <f aca="false">SUM(N62,Q62)</f>
        <v>0</v>
      </c>
      <c r="S62" s="11" t="n">
        <v>310</v>
      </c>
      <c r="T62" s="100" t="n">
        <v>300</v>
      </c>
      <c r="U62" s="11"/>
      <c r="V62" s="11"/>
      <c r="W62" s="11"/>
      <c r="X62" s="92" t="n">
        <f aca="false">R62+S62-T62-U62-V62-W62</f>
        <v>10</v>
      </c>
    </row>
    <row r="63" customFormat="false" ht="17.35" hidden="false" customHeight="false" outlineLevel="0" collapsed="false">
      <c r="A63" s="1" t="n">
        <v>16</v>
      </c>
      <c r="B63" s="105"/>
      <c r="C63" s="9"/>
      <c r="D63" s="89"/>
      <c r="E63" s="89"/>
      <c r="F63" s="89"/>
      <c r="G63" s="89"/>
      <c r="H63" s="89"/>
      <c r="I63" s="89"/>
      <c r="J63" s="89"/>
      <c r="K63" s="8"/>
      <c r="L63" s="11"/>
      <c r="M63" s="75"/>
      <c r="N63" s="11"/>
      <c r="O63" s="75"/>
      <c r="P63" s="11"/>
      <c r="Q63" s="11"/>
      <c r="R63" s="11"/>
      <c r="S63" s="11"/>
      <c r="T63" s="11"/>
      <c r="U63" s="11"/>
      <c r="V63" s="11"/>
      <c r="W63" s="11"/>
      <c r="X63" s="76" t="s">
        <v>34</v>
      </c>
    </row>
    <row r="64" customFormat="false" ht="17.35" hidden="false" customHeight="false" outlineLevel="0" collapsed="false">
      <c r="A64" s="1" t="n">
        <v>17</v>
      </c>
      <c r="B64" s="20"/>
      <c r="C64" s="9"/>
      <c r="D64" s="8"/>
      <c r="E64" s="8"/>
      <c r="F64" s="8"/>
      <c r="G64" s="8"/>
      <c r="H64" s="8"/>
      <c r="I64" s="8"/>
      <c r="J64" s="8"/>
      <c r="K64" s="8"/>
      <c r="L64" s="11"/>
      <c r="M64" s="75"/>
      <c r="N64" s="11"/>
      <c r="O64" s="75"/>
      <c r="P64" s="11"/>
      <c r="Q64" s="11"/>
      <c r="R64" s="11"/>
      <c r="S64" s="11"/>
      <c r="T64" s="11"/>
      <c r="U64" s="11"/>
      <c r="V64" s="11"/>
      <c r="W64" s="11"/>
      <c r="X64" s="76" t="n">
        <f aca="false">SUM(X47:X62)</f>
        <v>1660</v>
      </c>
    </row>
    <row r="65" customFormat="false" ht="17.35" hidden="false" customHeight="false" outlineLevel="0" collapsed="false">
      <c r="B65" s="106"/>
      <c r="C65" s="9"/>
      <c r="D65" s="8"/>
      <c r="E65" s="8"/>
      <c r="F65" s="8"/>
      <c r="G65" s="8"/>
      <c r="H65" s="8"/>
      <c r="I65" s="8"/>
      <c r="J65" s="8"/>
      <c r="K65" s="8"/>
      <c r="L65" s="11"/>
      <c r="M65" s="75"/>
      <c r="N65" s="11"/>
      <c r="O65" s="75"/>
      <c r="P65" s="11"/>
      <c r="Q65" s="11"/>
      <c r="R65" s="11"/>
      <c r="S65" s="11"/>
      <c r="T65" s="11"/>
      <c r="U65" s="11"/>
      <c r="V65" s="11"/>
      <c r="W65" s="11"/>
      <c r="X65" s="76"/>
    </row>
    <row r="66" customFormat="false" ht="17.35" hidden="false" customHeight="false" outlineLevel="0" collapsed="false">
      <c r="B66" s="81" t="s">
        <v>35</v>
      </c>
      <c r="C66" s="82"/>
      <c r="D66" s="82"/>
      <c r="E66" s="82"/>
      <c r="F66" s="82"/>
      <c r="G66" s="82"/>
      <c r="H66" s="82"/>
      <c r="I66" s="83"/>
      <c r="J66" s="84"/>
      <c r="K66" s="84"/>
      <c r="L66" s="85"/>
      <c r="M66" s="107"/>
      <c r="N66" s="85"/>
      <c r="O66" s="107"/>
      <c r="P66" s="85"/>
      <c r="Q66" s="85"/>
      <c r="R66" s="85"/>
      <c r="S66" s="85"/>
      <c r="T66" s="85"/>
      <c r="U66" s="85"/>
      <c r="V66" s="85"/>
      <c r="W66" s="85"/>
      <c r="X66" s="85"/>
    </row>
    <row r="67" customFormat="false" ht="17.35" hidden="false" customHeight="false" outlineLevel="0" collapsed="false">
      <c r="A67" s="1" t="n">
        <v>18</v>
      </c>
      <c r="B67" s="108"/>
      <c r="C67" s="109"/>
      <c r="D67" s="89"/>
      <c r="E67" s="89"/>
      <c r="F67" s="89"/>
      <c r="G67" s="89"/>
      <c r="H67" s="89"/>
      <c r="I67" s="89"/>
      <c r="J67" s="89"/>
      <c r="K67" s="110" t="n">
        <f aca="false">SUM(D67:J67)</f>
        <v>0</v>
      </c>
      <c r="L67" s="90" t="n">
        <v>2.25</v>
      </c>
      <c r="M67" s="91" t="n">
        <f aca="false">SUM(E67:J67)</f>
        <v>0</v>
      </c>
      <c r="N67" s="90" t="n">
        <f aca="false">(M67*L67)</f>
        <v>0</v>
      </c>
      <c r="O67" s="91" t="n">
        <f aca="false">SUM(D67)</f>
        <v>0</v>
      </c>
      <c r="P67" s="90" t="n">
        <v>2.2</v>
      </c>
      <c r="Q67" s="90" t="n">
        <f aca="false">(P67*O67)</f>
        <v>0</v>
      </c>
      <c r="R67" s="90" t="n">
        <f aca="false">N67+Q67</f>
        <v>0</v>
      </c>
      <c r="S67" s="100"/>
      <c r="T67" s="90" t="n">
        <v>300</v>
      </c>
      <c r="U67" s="11"/>
      <c r="V67" s="11"/>
      <c r="W67" s="11"/>
      <c r="X67" s="92" t="n">
        <f aca="false">R67+S67-T67-U67-V67-W67</f>
        <v>-300</v>
      </c>
    </row>
    <row r="68" customFormat="false" ht="17.35" hidden="false" customHeight="false" outlineLevel="0" collapsed="false">
      <c r="A68" s="1" t="n">
        <v>19</v>
      </c>
      <c r="B68" s="108"/>
      <c r="C68" s="109"/>
      <c r="D68" s="89"/>
      <c r="E68" s="89"/>
      <c r="F68" s="89"/>
      <c r="G68" s="89"/>
      <c r="H68" s="89"/>
      <c r="I68" s="89"/>
      <c r="J68" s="89"/>
      <c r="K68" s="110" t="n">
        <f aca="false">SUM(D68:J68)</f>
        <v>0</v>
      </c>
      <c r="L68" s="90" t="n">
        <v>2.1</v>
      </c>
      <c r="M68" s="91" t="n">
        <f aca="false">SUM(E68:J68)</f>
        <v>0</v>
      </c>
      <c r="N68" s="90" t="n">
        <f aca="false">(M68*L68)</f>
        <v>0</v>
      </c>
      <c r="O68" s="91" t="n">
        <f aca="false">SUM(D68)</f>
        <v>0</v>
      </c>
      <c r="P68" s="90" t="n">
        <v>2.2</v>
      </c>
      <c r="Q68" s="90" t="n">
        <f aca="false">(P68*O68)</f>
        <v>0</v>
      </c>
      <c r="R68" s="90" t="n">
        <f aca="false">N68+Q68</f>
        <v>0</v>
      </c>
      <c r="S68" s="11"/>
      <c r="T68" s="11"/>
      <c r="U68" s="11"/>
      <c r="V68" s="11"/>
      <c r="W68" s="11"/>
      <c r="X68" s="92" t="n">
        <f aca="false">R68+S68-T68-U68-V68-W68</f>
        <v>0</v>
      </c>
    </row>
    <row r="69" customFormat="false" ht="17.35" hidden="false" customHeight="false" outlineLevel="0" collapsed="false">
      <c r="A69" s="1" t="n">
        <v>20</v>
      </c>
      <c r="B69" s="108"/>
      <c r="C69" s="109"/>
      <c r="D69" s="89"/>
      <c r="E69" s="89"/>
      <c r="F69" s="89"/>
      <c r="G69" s="89"/>
      <c r="H69" s="89"/>
      <c r="I69" s="89"/>
      <c r="J69" s="89"/>
      <c r="K69" s="110" t="n">
        <f aca="false">SUM(D69:J69)</f>
        <v>0</v>
      </c>
      <c r="L69" s="90" t="n">
        <v>2.1</v>
      </c>
      <c r="M69" s="91" t="n">
        <f aca="false">SUM(E69:J69)</f>
        <v>0</v>
      </c>
      <c r="N69" s="90" t="n">
        <f aca="false">(M69*L69)</f>
        <v>0</v>
      </c>
      <c r="O69" s="91" t="n">
        <f aca="false">SUM(D69)</f>
        <v>0</v>
      </c>
      <c r="P69" s="90" t="n">
        <v>2.2</v>
      </c>
      <c r="Q69" s="90" t="n">
        <f aca="false">(P69*O69)</f>
        <v>0</v>
      </c>
      <c r="R69" s="90" t="n">
        <f aca="false">N69+Q69</f>
        <v>0</v>
      </c>
      <c r="S69" s="11"/>
      <c r="T69" s="11"/>
      <c r="U69" s="11"/>
      <c r="V69" s="11"/>
      <c r="W69" s="11"/>
      <c r="X69" s="92" t="n">
        <f aca="false">R69+S69-T69-U69-V69-W69</f>
        <v>0</v>
      </c>
    </row>
    <row r="70" customFormat="false" ht="17.35" hidden="false" customHeight="false" outlineLevel="0" collapsed="false">
      <c r="A70" s="1" t="n">
        <v>21</v>
      </c>
      <c r="B70" s="108"/>
      <c r="C70" s="109"/>
      <c r="D70" s="89"/>
      <c r="E70" s="89"/>
      <c r="F70" s="89"/>
      <c r="G70" s="89"/>
      <c r="H70" s="89"/>
      <c r="I70" s="89"/>
      <c r="J70" s="89"/>
      <c r="K70" s="110" t="n">
        <f aca="false">SUM(D70:J70)</f>
        <v>0</v>
      </c>
      <c r="L70" s="90" t="n">
        <v>2.1</v>
      </c>
      <c r="M70" s="91" t="n">
        <f aca="false">SUM(E70:J70)</f>
        <v>0</v>
      </c>
      <c r="N70" s="90" t="n">
        <f aca="false">(M70*L70)</f>
        <v>0</v>
      </c>
      <c r="O70" s="91" t="n">
        <f aca="false">SUM(D70)</f>
        <v>0</v>
      </c>
      <c r="P70" s="90" t="n">
        <v>2.2</v>
      </c>
      <c r="Q70" s="90" t="n">
        <f aca="false">(P70*O70)</f>
        <v>0</v>
      </c>
      <c r="R70" s="90" t="n">
        <f aca="false">N70+Q70</f>
        <v>0</v>
      </c>
      <c r="S70" s="11"/>
      <c r="T70" s="90" t="n">
        <v>300</v>
      </c>
      <c r="U70" s="11"/>
      <c r="V70" s="11"/>
      <c r="W70" s="11"/>
      <c r="X70" s="92" t="n">
        <f aca="false">R70+S70-T70-U70-V70-W70</f>
        <v>-300</v>
      </c>
    </row>
    <row r="71" customFormat="false" ht="17.35" hidden="false" customHeight="false" outlineLevel="0" collapsed="false">
      <c r="B71" s="111"/>
      <c r="C71" s="112"/>
      <c r="D71" s="113"/>
      <c r="E71" s="113"/>
      <c r="F71" s="113"/>
      <c r="G71" s="113"/>
      <c r="H71" s="113"/>
      <c r="I71" s="113"/>
      <c r="J71" s="113"/>
      <c r="K71" s="110"/>
      <c r="L71" s="90"/>
      <c r="M71" s="91"/>
      <c r="N71" s="90"/>
      <c r="O71" s="91"/>
      <c r="P71" s="90"/>
      <c r="Q71" s="90"/>
      <c r="R71" s="90"/>
      <c r="S71" s="11"/>
      <c r="T71" s="90"/>
      <c r="U71" s="11"/>
      <c r="V71" s="11"/>
      <c r="W71" s="11"/>
      <c r="X71" s="92"/>
    </row>
    <row r="72" customFormat="false" ht="17.35" hidden="false" customHeight="false" outlineLevel="0" collapsed="false">
      <c r="B72" s="111"/>
      <c r="C72" s="112"/>
      <c r="D72" s="113"/>
      <c r="E72" s="113"/>
      <c r="F72" s="113"/>
      <c r="G72" s="113"/>
      <c r="H72" s="113"/>
      <c r="I72" s="113"/>
      <c r="J72" s="113"/>
      <c r="K72" s="110"/>
      <c r="L72" s="90"/>
      <c r="M72" s="91"/>
      <c r="N72" s="90"/>
      <c r="O72" s="91"/>
      <c r="P72" s="90"/>
      <c r="Q72" s="90"/>
      <c r="R72" s="90"/>
      <c r="S72" s="11"/>
      <c r="T72" s="90"/>
      <c r="U72" s="11"/>
      <c r="V72" s="11"/>
      <c r="W72" s="11"/>
      <c r="X72" s="92"/>
    </row>
    <row r="73" customFormat="false" ht="17.35" hidden="false" customHeight="false" outlineLevel="0" collapsed="false">
      <c r="X73" s="76" t="e">
        <f aca="false">SUM(#REF!)</f>
        <v>#REF!</v>
      </c>
    </row>
    <row r="74" customFormat="false" ht="17.35" hidden="false" customHeight="false" outlineLevel="0" collapsed="false">
      <c r="B74" s="114" t="s">
        <v>36</v>
      </c>
      <c r="C74" s="114"/>
      <c r="D74" s="114"/>
      <c r="E74" s="114"/>
      <c r="F74" s="114"/>
      <c r="G74" s="114"/>
      <c r="H74" s="114"/>
      <c r="I74" s="114"/>
      <c r="J74" s="114"/>
      <c r="K74" s="114"/>
      <c r="L74" s="114"/>
      <c r="M74" s="114"/>
      <c r="N74" s="82"/>
      <c r="O74" s="82"/>
      <c r="P74" s="82"/>
      <c r="Q74" s="82"/>
      <c r="R74" s="82"/>
      <c r="S74" s="82"/>
      <c r="T74" s="82"/>
      <c r="U74" s="82"/>
      <c r="V74" s="82"/>
      <c r="W74" s="82"/>
      <c r="X74" s="82"/>
    </row>
    <row r="75" customFormat="false" ht="17.35" hidden="false" customHeight="false" outlineLevel="0" collapsed="false">
      <c r="A75" s="1" t="n">
        <v>20</v>
      </c>
      <c r="B75" s="115"/>
      <c r="C75" s="116"/>
      <c r="D75" s="69"/>
      <c r="E75" s="69"/>
      <c r="F75" s="69"/>
      <c r="G75" s="69"/>
      <c r="H75" s="69"/>
      <c r="I75" s="69"/>
      <c r="J75" s="69"/>
      <c r="K75" s="69"/>
      <c r="L75" s="69" t="n">
        <v>1.25</v>
      </c>
      <c r="M75" s="69" t="n">
        <f aca="false">SUM(E75:J75)</f>
        <v>0</v>
      </c>
      <c r="N75" s="69" t="n">
        <f aca="false">L75*M75</f>
        <v>0</v>
      </c>
      <c r="O75" s="117" t="n">
        <f aca="false">D75</f>
        <v>0</v>
      </c>
      <c r="P75" s="117"/>
      <c r="Q75" s="117"/>
      <c r="R75" s="118" t="n">
        <v>2000</v>
      </c>
      <c r="S75" s="69"/>
      <c r="T75" s="69"/>
      <c r="U75" s="69"/>
      <c r="V75" s="69"/>
      <c r="W75" s="69"/>
      <c r="X75" s="119" t="n">
        <f aca="false">R75+N75</f>
        <v>2000</v>
      </c>
    </row>
  </sheetData>
  <mergeCells count="16">
    <mergeCell ref="A11:A12"/>
    <mergeCell ref="B11:B12"/>
    <mergeCell ref="X11:X12"/>
    <mergeCell ref="B23:C23"/>
    <mergeCell ref="D23:X23"/>
    <mergeCell ref="C30:D30"/>
    <mergeCell ref="E30:I30"/>
    <mergeCell ref="J30:W30"/>
    <mergeCell ref="A33:A34"/>
    <mergeCell ref="B33:B34"/>
    <mergeCell ref="A48:A49"/>
    <mergeCell ref="B48:B49"/>
    <mergeCell ref="B57:B58"/>
    <mergeCell ref="A60:A61"/>
    <mergeCell ref="B60:B61"/>
    <mergeCell ref="B74:M7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2025-12-17T21:00:58Z</dcterms:created>
  <dc:creator>Alvin Brown</dc:creator>
  <dc:description/>
  <dc:language>en-US</dc:language>
  <cp:lastModifiedBy/>
  <dcterms:modified xsi:type="dcterms:W3CDTF">2025-12-22T16:35:11Z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