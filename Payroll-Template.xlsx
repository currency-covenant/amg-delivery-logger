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<sst xmlns="http://schemas.openxmlformats.org/spreadsheetml/2006/main" count="43" uniqueCount="37">
  <si>
    <t xml:space="preserve">Pay Period - </t>
  </si>
  <si>
    <t xml:space="preserve">Index</t>
  </si>
  <si>
    <t xml:space="preserve">Area</t>
  </si>
  <si>
    <t xml:space="preserve">Role</t>
  </si>
  <si>
    <t xml:space="preserve">Driver Names</t>
  </si>
  <si>
    <t xml:space="preserve">DRIVERS#</t>
  </si>
  <si>
    <t xml:space="preserve">Total Stops </t>
  </si>
  <si>
    <t xml:space="preserve">$ PER STOP </t>
  </si>
  <si>
    <t xml:space="preserve">Total Stops Monday -Saturday</t>
  </si>
  <si>
    <t xml:space="preserve">$ Monday-Saturday</t>
  </si>
  <si>
    <t xml:space="preserve">Total Stops Sunday</t>
  </si>
  <si>
    <t xml:space="preserve">$ per stop sunday </t>
  </si>
  <si>
    <t xml:space="preserve">Sunday Earning </t>
  </si>
  <si>
    <t xml:space="preserve">TOTAL BEFORE EXT/DED</t>
  </si>
  <si>
    <t xml:space="preserve">EXTRAS</t>
  </si>
  <si>
    <t xml:space="preserve">DEDUCTIONS</t>
  </si>
  <si>
    <t xml:space="preserve">Bad VPOD</t>
  </si>
  <si>
    <t xml:space="preserve">MDL</t>
  </si>
  <si>
    <t xml:space="preserve">CNL</t>
  </si>
  <si>
    <t xml:space="preserve">GRAND TOTAL</t>
  </si>
  <si>
    <t xml:space="preserve">Name </t>
  </si>
  <si>
    <t xml:space="preserve">notes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</si>
  <si>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</si>
  <si>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</si>
  <si>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</si>
  <si>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</si>
  <si>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</si>
  <si>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</si>
  <si>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</si>
  <si>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REDLANDS</t>
  </si>
  <si>
    <t xml:space="preserve">Floater Drivers</t>
  </si>
  <si>
    <t xml:space="preserve">Total Redlands</t>
  </si>
  <si>
    <t xml:space="preserve">LANCASTER/PALMDALE</t>
  </si>
  <si>
    <t xml:space="preserve"> </t>
  </si>
  <si>
    <t xml:space="preserve">Tuesday </t>
  </si>
  <si>
    <t xml:space="preserve">Total Lancaster/Palmdale</t>
  </si>
  <si>
    <t xml:space="preserve">Hesperia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</si>
</sst>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m\ d"/>
    <numFmt numFmtId="166" formatCode="\$#,##0.00"/>
    <numFmt numFmtId="167" formatCode="\$#,##0.000"/>
    <numFmt numFmtId="168" formatCode="_(\$* #,##0.00_);_(\$* \(#,##0.00\);_(\$* \-??_);_(@_)"/>
    <numFmt numFmtId="169" formatCode="[$-409]#,##0;\(#,##0\)"/>
    <numFmt numFmtId="170" formatCode="[$-409]mmmm\ d&quot;, &quot;yyyy;@"/>
    <numFmt numFmtId="171" formatCode="#,##0"/>
    <numFmt numFmtId="172" formatCode="mmmmd"/>
  </numFmts>
  <fonts count="29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8"/>
      <color theme="1"/>
      <name val="Aptos Narrow"/>
      <family val="2"/>
    </font>
    <font>
      <sz val="18"/>
      <color theme="1"/>
      <name val="Aptos Narrow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 val="true"/>
      <sz val="18"/>
      <color theme="1"/>
      <name val="Arial"/>
      <family val="2"/>
    </font>
    <font>
      <sz val="12"/>
      <color theme="1"/>
      <name val="Aptos Display"/>
      <family val="2"/>
    </font>
    <font>
      <sz val="12"/>
      <color theme="1"/>
      <name val="Aptos Display"/>
      <family val="2"/>
    </font>
    <font>
      <sz val="12"/>
      <color theme="1"/>
      <name val="Arial"/>
      <family val="2"/>
    </font>
    <font>
      <strike val="true"/>
      <sz val="12"/>
      <color theme="1"/>
      <name val="Arial"/>
      <family val="2"/>
    </font>
    <font>
      <b val="true"/>
      <strike val="true"/>
      <sz val="14"/>
      <color theme="1"/>
      <name val="Arial"/>
      <family val="2"/>
    </font>
    <font>
      <strike val="true"/>
      <sz val="10"/>
      <color theme="1"/>
      <name val="Arial"/>
      <family val="2"/>
    </font>
    <font>
      <sz val="14"/>
      <color theme="1"/>
      <name val="Arial"/>
      <family val="2"/>
    </font>
    <font>
      <b val="true"/>
      <sz val="14"/>
      <color theme="1"/>
      <name val="Arial"/>
      <family val="2"/>
    </font>
    <font>
      <sz val="10"/>
      <color theme="1"/>
      <name val="Aptos Narrow"/>
      <family val="2"/>
    </font>
    <font>
      <strike val="true"/>
      <sz val="10"/>
      <color theme="1"/>
      <name val="Aptos Narrow"/>
      <family val="2"/>
    </font>
    <font>
      <sz val="12"/>
      <color theme="4" tint="-0.25"/>
      <name val="Arial"/>
      <family val="2"/>
    </font>
    <font>
      <sz val="12"/>
      <color theme="1"/>
      <name val="Calibri"/>
      <family val="2"/>
    </font>
    <font>
      <sz val="14"/>
      <color theme="1"/>
      <name val="Aptos Narrow"/>
      <family val="2"/>
    </font>
    <font>
      <sz val="11"/>
      <color theme="1"/>
      <name val="Calibri"/>
      <family val="2"/>
    </font>
    <font>
      <sz val="12"/>
      <color theme="1"/>
      <name val="Aptos Narrow"/>
      <family val="2"/>
    </font>
    <font>
      <b val="true"/>
      <sz val="12"/>
      <color theme="1"/>
      <name val="Arial"/>
      <family val="2"/>
    </font>
    <font>
      <b val="true"/>
      <sz val="16"/>
      <color theme="1"/>
      <name val="Arial"/>
      <family val="2"/>
    </font>
    <font>
      <sz val="14"/>
      <color theme="3" tint="0.4999"/>
      <name val="Arial"/>
      <family val="2"/>
    </font>
    <font>
      <sz val="14"/>
      <color theme="1"/>
      <name val="Arial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2E9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EA9999"/>
        <bgColor rgb="FFFF8080"/>
      </patternFill>
    </fill>
    <fill>
      <patternFill patternType="solid">
        <fgColor rgb="FF92D050"/>
        <bgColor rgb="FF999999"/>
      </patternFill>
    </fill>
    <fill>
      <patternFill patternType="solid">
        <fgColor rgb="FFC9DAF8"/>
        <bgColor rgb="FFD9D2E9"/>
      </patternFill>
    </fill>
    <fill>
      <patternFill patternType="solid">
        <fgColor rgb="FF000000"/>
        <bgColor rgb="FF202124"/>
      </patternFill>
    </fill>
    <fill>
      <patternFill patternType="solid">
        <fgColor rgb="FFD9D2E9"/>
        <bgColor rgb="FFD9D9D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45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45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45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78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center" vertical="bottom" textRotation="45" wrapText="false" indent="0" shrinkToFit="false"/>
      <protection locked="true" hidden="false"/>
    </xf>
    <xf numFmtId="167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6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6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4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4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E9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EA9999"/>
      <rgbColor rgb="FFCC99FF"/>
      <rgbColor rgb="FFFFCC99"/>
      <rgbColor rgb="FF3D85C6"/>
      <rgbColor rgb="FF33CCCC"/>
      <rgbColor rgb="FF92D050"/>
      <rgbColor rgb="FFFFCC00"/>
      <rgbColor rgb="FFFF9900"/>
      <rgbColor rgb="FFFF6600"/>
      <rgbColor rgb="FF666699"/>
      <rgbColor rgb="FF999999"/>
      <rgbColor rgb="FF104862"/>
      <rgbColor rgb="FF4E95D9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F76"/>
  <sheetViews>
    <sheetView showFormulas="false" showGridLines="true" showRowColHeaders="true" showZeros="true" rightToLeft="false" tabSelected="true" showOutlineSymbols="true" defaultGridColor="true" view="normal" topLeftCell="A1" colorId="64" zoomScale="61" zoomScaleNormal="61" zoomScalePageLayoutView="100" workbookViewId="0">
      <selection pane="topLeft" activeCell="A48" activeCellId="0" sqref="48:48"/>
    </sheetView>
  </sheetViews>
  <sheetFormatPr defaultColWidth="12.57421875" defaultRowHeight="15" customHeight="true" zeroHeight="false" outlineLevelRow="0" outlineLevelCol="0"/>
  <cols>
    <col collapsed="false" customWidth="true" hidden="false" outlineLevel="0" max="3" min="2" style="0" width="10.49"/>
    <col collapsed="false" customWidth="true" hidden="false" outlineLevel="0" max="4" min="4" style="1" width="64.85"/>
    <col collapsed="false" customWidth="true" hidden="false" outlineLevel="0" max="15" min="15" style="1" width="15.57"/>
    <col collapsed="false" customWidth="true" hidden="false" outlineLevel="0" max="16" min="16" style="1" width="15"/>
    <col collapsed="false" customWidth="true" hidden="false" outlineLevel="0" max="19" min="19" style="1" width="15.43"/>
    <col collapsed="false" customWidth="true" hidden="false" outlineLevel="0" max="20" min="20" style="1" width="28.29"/>
    <col collapsed="false" customWidth="true" hidden="false" outlineLevel="0" max="25" min="25" style="1" width="11.43"/>
    <col collapsed="false" customWidth="true" hidden="false" outlineLevel="0" max="26" min="26" style="1" width="27.29"/>
  </cols>
  <sheetData>
    <row r="1" s="2" customFormat="true" ht="33.85" hidden="false" customHeight="false" outlineLevel="0" collapsed="false">
      <c r="A1" s="2" t="s">
        <v>0</v>
      </c>
    </row>
    <row r="2" customFormat="false" ht="195.5" hidden="false" customHeight="false" outlineLevel="0" collapsed="false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8" t="n">
        <v>45984</v>
      </c>
      <c r="G2" s="8" t="n">
        <v>45985</v>
      </c>
      <c r="H2" s="8" t="n">
        <v>45986</v>
      </c>
      <c r="I2" s="8" t="n">
        <v>45987</v>
      </c>
      <c r="J2" s="8" t="n">
        <v>45988</v>
      </c>
      <c r="K2" s="8" t="n">
        <v>45989</v>
      </c>
      <c r="L2" s="8" t="n">
        <v>45990</v>
      </c>
      <c r="M2" s="8" t="s">
        <v>6</v>
      </c>
      <c r="N2" s="9" t="s">
        <v>7</v>
      </c>
      <c r="O2" s="10" t="s">
        <v>8</v>
      </c>
      <c r="P2" s="9" t="s">
        <v>9</v>
      </c>
      <c r="Q2" s="9" t="s">
        <v>10</v>
      </c>
      <c r="R2" s="9" t="s">
        <v>11</v>
      </c>
      <c r="S2" s="9" t="s">
        <v>12</v>
      </c>
      <c r="T2" s="9" t="s">
        <v>13</v>
      </c>
      <c r="U2" s="9" t="s">
        <v>14</v>
      </c>
      <c r="V2" s="9" t="s">
        <v>15</v>
      </c>
      <c r="W2" s="9" t="s">
        <v>16</v>
      </c>
      <c r="X2" s="9" t="s">
        <v>17</v>
      </c>
      <c r="Y2" s="9" t="s">
        <v>18</v>
      </c>
      <c r="Z2" s="11" t="s">
        <v>19</v>
      </c>
      <c r="AA2" s="12" t="s">
        <v>20</v>
      </c>
      <c r="AB2" s="12" t="s">
        <v>21</v>
      </c>
    </row>
    <row r="3" customFormat="false" ht="13.8" hidden="false" customHeight="false" outlineLevel="0" collapsed="false">
      <c r="A3" s="13"/>
      <c r="B3" s="13"/>
      <c r="C3" s="13"/>
      <c r="D3" s="14"/>
      <c r="E3" s="15"/>
      <c r="F3" s="16" t="s">
        <v>22</v>
      </c>
      <c r="G3" s="16" t="s">
        <v>23</v>
      </c>
      <c r="H3" s="16" t="s">
        <v>24</v>
      </c>
      <c r="I3" s="16" t="s">
        <v>25</v>
      </c>
      <c r="J3" s="16" t="s">
        <v>26</v>
      </c>
      <c r="K3" s="16" t="s">
        <v>27</v>
      </c>
      <c r="L3" s="16" t="s">
        <v>28</v>
      </c>
      <c r="M3" s="16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/>
      <c r="AA3" s="19"/>
      <c r="AB3" s="19"/>
    </row>
    <row r="4" customFormat="false" ht="15.75" hidden="false" customHeight="true" outlineLevel="0" collapsed="false">
      <c r="A4" s="20"/>
      <c r="B4" s="20"/>
      <c r="C4" s="20"/>
      <c r="D4" s="21" t="s">
        <v>29</v>
      </c>
      <c r="E4" s="22"/>
      <c r="F4" s="22"/>
      <c r="G4" s="22"/>
      <c r="H4" s="22"/>
      <c r="I4" s="22"/>
      <c r="J4" s="22"/>
      <c r="K4" s="22"/>
      <c r="L4" s="22"/>
      <c r="M4" s="22"/>
      <c r="N4" s="23"/>
      <c r="O4" s="23"/>
      <c r="P4" s="23"/>
      <c r="Q4" s="23"/>
      <c r="R4" s="23"/>
      <c r="S4" s="23"/>
      <c r="T4" s="23"/>
      <c r="U4" s="23"/>
      <c r="V4" s="23"/>
      <c r="W4" s="24" t="n">
        <v>50</v>
      </c>
      <c r="X4" s="24" t="n">
        <v>75</v>
      </c>
      <c r="Y4" s="24" t="n">
        <v>100</v>
      </c>
      <c r="Z4" s="23"/>
      <c r="AA4" s="25"/>
      <c r="AB4" s="25"/>
    </row>
    <row r="5" customFormat="false" ht="15.75" hidden="false" customHeight="true" outlineLevel="0" collapsed="false">
      <c r="A5" s="20"/>
      <c r="B5" s="20"/>
      <c r="C5" s="20"/>
      <c r="D5" s="21"/>
      <c r="E5" s="22"/>
      <c r="F5" s="22"/>
      <c r="G5" s="22"/>
      <c r="H5" s="22"/>
      <c r="I5" s="22"/>
      <c r="J5" s="22"/>
      <c r="K5" s="22"/>
      <c r="L5" s="22"/>
      <c r="M5" s="22"/>
      <c r="N5" s="23"/>
      <c r="O5" s="23"/>
      <c r="P5" s="23"/>
      <c r="Q5" s="23"/>
      <c r="R5" s="23"/>
      <c r="S5" s="23"/>
      <c r="T5" s="23"/>
      <c r="U5" s="23"/>
      <c r="V5" s="23"/>
      <c r="W5" s="24"/>
      <c r="X5" s="24"/>
      <c r="Y5" s="24"/>
      <c r="Z5" s="23"/>
      <c r="AA5" s="25"/>
      <c r="AB5" s="25"/>
    </row>
    <row r="6" customFormat="false" ht="15.75" hidden="false" customHeight="true" outlineLevel="0" collapsed="false">
      <c r="A6" s="26"/>
      <c r="B6" s="26"/>
      <c r="C6" s="26"/>
      <c r="D6" s="27"/>
      <c r="E6" s="28"/>
      <c r="F6" s="29"/>
      <c r="G6" s="29"/>
      <c r="H6" s="29"/>
      <c r="I6" s="29"/>
      <c r="J6" s="29"/>
      <c r="K6" s="29"/>
      <c r="L6" s="29"/>
      <c r="M6" s="30" t="n">
        <f aca="false">SUM(F6:L6)</f>
        <v>0</v>
      </c>
      <c r="N6" s="31" t="n">
        <v>1.75</v>
      </c>
      <c r="O6" s="32" t="n">
        <f aca="false">SUM(G6:L6)</f>
        <v>0</v>
      </c>
      <c r="P6" s="33" t="n">
        <f aca="false">O6*N6</f>
        <v>0</v>
      </c>
      <c r="Q6" s="34" t="n">
        <f aca="false">F6</f>
        <v>0</v>
      </c>
      <c r="R6" s="35" t="n">
        <v>1.85</v>
      </c>
      <c r="S6" s="36" t="n">
        <f aca="false">(R6*Q6)</f>
        <v>0</v>
      </c>
      <c r="T6" s="36" t="n">
        <f aca="false">P6+S6</f>
        <v>0</v>
      </c>
      <c r="U6" s="37"/>
      <c r="V6" s="37"/>
      <c r="W6" s="37"/>
      <c r="X6" s="37"/>
      <c r="Y6" s="37"/>
      <c r="Z6" s="38" t="n">
        <f aca="false">T6+U6-V6-W6-X6-Y6</f>
        <v>0</v>
      </c>
      <c r="AA6" s="39"/>
      <c r="AB6" s="40"/>
    </row>
    <row r="7" customFormat="false" ht="15.75" hidden="false" customHeight="true" outlineLevel="0" collapsed="false">
      <c r="A7" s="26"/>
      <c r="B7" s="26"/>
      <c r="C7" s="26"/>
      <c r="D7" s="41"/>
      <c r="E7" s="28"/>
      <c r="F7" s="29"/>
      <c r="G7" s="29"/>
      <c r="H7" s="29"/>
      <c r="I7" s="29"/>
      <c r="J7" s="29"/>
      <c r="K7" s="29"/>
      <c r="L7" s="29"/>
      <c r="M7" s="42" t="n">
        <f aca="false">SUM(F7:L7)</f>
        <v>0</v>
      </c>
      <c r="N7" s="31" t="n">
        <v>1.75</v>
      </c>
      <c r="O7" s="32" t="n">
        <f aca="false">SUM(G7:L7)</f>
        <v>0</v>
      </c>
      <c r="P7" s="33" t="n">
        <f aca="false">O7*N7</f>
        <v>0</v>
      </c>
      <c r="Q7" s="34" t="n">
        <f aca="false">F7</f>
        <v>0</v>
      </c>
      <c r="R7" s="36" t="n">
        <v>1.85</v>
      </c>
      <c r="S7" s="36" t="n">
        <f aca="false">(R7*Q7)</f>
        <v>0</v>
      </c>
      <c r="T7" s="36" t="n">
        <f aca="false">P7+S7</f>
        <v>0</v>
      </c>
      <c r="U7" s="43" t="n">
        <v>498</v>
      </c>
      <c r="V7" s="43"/>
      <c r="W7" s="43"/>
      <c r="X7" s="43"/>
      <c r="Y7" s="43"/>
      <c r="Z7" s="38" t="n">
        <f aca="false">T7+U7-V7-W7-X7-Y7</f>
        <v>498</v>
      </c>
    </row>
    <row r="8" customFormat="false" ht="15.75" hidden="false" customHeight="true" outlineLevel="0" collapsed="false">
      <c r="A8" s="26"/>
      <c r="B8" s="26"/>
      <c r="C8" s="26"/>
      <c r="D8" s="27"/>
      <c r="E8" s="28"/>
      <c r="F8" s="29"/>
      <c r="G8" s="29"/>
      <c r="H8" s="29"/>
      <c r="I8" s="29"/>
      <c r="J8" s="29"/>
      <c r="K8" s="29"/>
      <c r="L8" s="29"/>
      <c r="M8" s="42" t="n">
        <f aca="false">SUM(F8:L8)</f>
        <v>0</v>
      </c>
      <c r="N8" s="31" t="n">
        <v>1.75</v>
      </c>
      <c r="O8" s="32" t="n">
        <f aca="false">SUM(G8:L8)</f>
        <v>0</v>
      </c>
      <c r="P8" s="33" t="n">
        <f aca="false">O8*N8</f>
        <v>0</v>
      </c>
      <c r="Q8" s="34" t="n">
        <f aca="false">F8</f>
        <v>0</v>
      </c>
      <c r="R8" s="36" t="n">
        <v>1.85</v>
      </c>
      <c r="S8" s="36" t="n">
        <f aca="false">(R8*Q8)</f>
        <v>0</v>
      </c>
      <c r="T8" s="36" t="n">
        <f aca="false">P8+S8</f>
        <v>0</v>
      </c>
      <c r="U8" s="43"/>
      <c r="V8" s="43"/>
      <c r="W8" s="43"/>
      <c r="X8" s="43"/>
      <c r="Y8" s="43"/>
      <c r="Z8" s="38" t="n">
        <f aca="false">T8+U8-V8-W8-X8-Y8</f>
        <v>0</v>
      </c>
      <c r="AA8" s="44"/>
      <c r="AB8" s="45"/>
    </row>
    <row r="9" customFormat="false" ht="15.75" hidden="false" customHeight="true" outlineLevel="0" collapsed="false">
      <c r="A9" s="26"/>
      <c r="B9" s="26"/>
      <c r="C9" s="26"/>
      <c r="D9" s="27"/>
      <c r="E9" s="28"/>
      <c r="F9" s="29"/>
      <c r="G9" s="29"/>
      <c r="H9" s="29"/>
      <c r="I9" s="29"/>
      <c r="J9" s="29"/>
      <c r="K9" s="29"/>
      <c r="L9" s="29"/>
      <c r="M9" s="42" t="n">
        <f aca="false">SUM(F9:L9)</f>
        <v>0</v>
      </c>
      <c r="N9" s="31" t="n">
        <v>2.35</v>
      </c>
      <c r="O9" s="32" t="n">
        <f aca="false">SUM(G9:L9)</f>
        <v>0</v>
      </c>
      <c r="P9" s="33" t="n">
        <f aca="false">O9*N9</f>
        <v>0</v>
      </c>
      <c r="Q9" s="34" t="n">
        <f aca="false">F9</f>
        <v>0</v>
      </c>
      <c r="R9" s="36" t="n">
        <v>2.35</v>
      </c>
      <c r="S9" s="36" t="n">
        <f aca="false">(R9*Q9)</f>
        <v>0</v>
      </c>
      <c r="T9" s="36" t="n">
        <f aca="false">P9+S9</f>
        <v>0</v>
      </c>
      <c r="U9" s="43" t="n">
        <v>455</v>
      </c>
      <c r="V9" s="43"/>
      <c r="W9" s="43"/>
      <c r="X9" s="43"/>
      <c r="Y9" s="43"/>
      <c r="Z9" s="38" t="n">
        <f aca="false">T9+U9-V9-W9-X9-Y9</f>
        <v>455</v>
      </c>
      <c r="AA9" s="45"/>
      <c r="AB9" s="45"/>
    </row>
    <row r="10" customFormat="false" ht="15.75" hidden="false" customHeight="true" outlineLevel="0" collapsed="false">
      <c r="A10" s="26"/>
      <c r="B10" s="26"/>
      <c r="C10" s="26"/>
      <c r="D10" s="27"/>
      <c r="E10" s="28"/>
      <c r="F10" s="29"/>
      <c r="G10" s="29"/>
      <c r="H10" s="29"/>
      <c r="I10" s="29"/>
      <c r="J10" s="29"/>
      <c r="K10" s="29"/>
      <c r="L10" s="29"/>
      <c r="M10" s="42" t="n">
        <f aca="false">SUM(F10:L10)</f>
        <v>0</v>
      </c>
      <c r="N10" s="31" t="n">
        <v>1.75</v>
      </c>
      <c r="O10" s="32" t="n">
        <f aca="false">SUM(G10:L10)</f>
        <v>0</v>
      </c>
      <c r="P10" s="33" t="n">
        <f aca="false">O10*N10</f>
        <v>0</v>
      </c>
      <c r="Q10" s="34" t="n">
        <f aca="false">F10</f>
        <v>0</v>
      </c>
      <c r="R10" s="36" t="n">
        <v>1.85</v>
      </c>
      <c r="S10" s="36" t="n">
        <f aca="false">(R10*Q10)</f>
        <v>0</v>
      </c>
      <c r="T10" s="36" t="n">
        <f aca="false">P10+S10</f>
        <v>0</v>
      </c>
      <c r="U10" s="43"/>
      <c r="V10" s="43"/>
      <c r="W10" s="43"/>
      <c r="X10" s="43"/>
      <c r="Y10" s="43"/>
      <c r="Z10" s="38" t="n">
        <f aca="false">T10+U10-V10-W10-X10-Y10</f>
        <v>0</v>
      </c>
      <c r="AA10" s="44"/>
      <c r="AB10" s="45"/>
    </row>
    <row r="11" customFormat="false" ht="15.75" hidden="false" customHeight="true" outlineLevel="0" collapsed="false">
      <c r="A11" s="26"/>
      <c r="B11" s="26"/>
      <c r="C11" s="26"/>
      <c r="D11" s="27"/>
      <c r="E11" s="28"/>
      <c r="F11" s="29"/>
      <c r="G11" s="29"/>
      <c r="H11" s="29"/>
      <c r="I11" s="29"/>
      <c r="J11" s="29"/>
      <c r="K11" s="29"/>
      <c r="L11" s="29"/>
      <c r="M11" s="42" t="n">
        <f aca="false">SUM(F11:L11)</f>
        <v>0</v>
      </c>
      <c r="N11" s="31" t="n">
        <v>1.75</v>
      </c>
      <c r="O11" s="32" t="n">
        <f aca="false">SUM(G11:L11)</f>
        <v>0</v>
      </c>
      <c r="P11" s="33" t="n">
        <f aca="false">O11*N11</f>
        <v>0</v>
      </c>
      <c r="Q11" s="34" t="n">
        <f aca="false">F11</f>
        <v>0</v>
      </c>
      <c r="R11" s="36" t="n">
        <v>1.85</v>
      </c>
      <c r="S11" s="36" t="n">
        <f aca="false">(R11*Q11)</f>
        <v>0</v>
      </c>
      <c r="T11" s="36" t="n">
        <f aca="false">P11+S11</f>
        <v>0</v>
      </c>
      <c r="U11" s="43"/>
      <c r="V11" s="43"/>
      <c r="W11" s="43"/>
      <c r="X11" s="43"/>
      <c r="Y11" s="43"/>
      <c r="Z11" s="38" t="n">
        <f aca="false">T11+U11-V11-W11-X11-Y11</f>
        <v>0</v>
      </c>
    </row>
    <row r="12" customFormat="false" ht="15.75" hidden="false" customHeight="true" outlineLevel="0" collapsed="false">
      <c r="A12" s="26"/>
      <c r="B12" s="26"/>
      <c r="C12" s="26"/>
      <c r="D12" s="46"/>
      <c r="E12" s="28"/>
      <c r="F12" s="29"/>
      <c r="G12" s="29"/>
      <c r="H12" s="29"/>
      <c r="I12" s="29"/>
      <c r="J12" s="29"/>
      <c r="K12" s="29"/>
      <c r="L12" s="29"/>
      <c r="M12" s="42" t="n">
        <f aca="false">SUM(F12:L12)</f>
        <v>0</v>
      </c>
      <c r="N12" s="31" t="n">
        <v>1.75</v>
      </c>
      <c r="O12" s="32" t="n">
        <f aca="false">SUM(G12:L12)</f>
        <v>0</v>
      </c>
      <c r="P12" s="33" t="n">
        <f aca="false">O12*N12</f>
        <v>0</v>
      </c>
      <c r="Q12" s="34" t="n">
        <f aca="false">F12</f>
        <v>0</v>
      </c>
      <c r="R12" s="36" t="n">
        <v>1.85</v>
      </c>
      <c r="S12" s="36" t="n">
        <f aca="false">(R12*Q12)</f>
        <v>0</v>
      </c>
      <c r="T12" s="36" t="n">
        <f aca="false">P12+S12</f>
        <v>0</v>
      </c>
      <c r="U12" s="43" t="n">
        <v>87.5</v>
      </c>
      <c r="V12" s="43"/>
      <c r="W12" s="43"/>
      <c r="X12" s="43"/>
      <c r="Y12" s="43"/>
      <c r="Z12" s="47" t="n">
        <f aca="false">T12+U12-V12-W12-X12-Y12+T13+U13-V13-W13-X13-Y13</f>
        <v>87.5</v>
      </c>
      <c r="AB12" s="48"/>
    </row>
    <row r="13" customFormat="false" ht="15.75" hidden="false" customHeight="true" outlineLevel="0" collapsed="false">
      <c r="A13" s="26"/>
      <c r="B13" s="26"/>
      <c r="C13" s="26"/>
      <c r="D13" s="46"/>
      <c r="E13" s="28"/>
      <c r="F13" s="29"/>
      <c r="G13" s="29"/>
      <c r="H13" s="29"/>
      <c r="I13" s="29"/>
      <c r="J13" s="29"/>
      <c r="K13" s="29"/>
      <c r="L13" s="29"/>
      <c r="M13" s="42" t="n">
        <f aca="false">SUM(F13:L13)</f>
        <v>0</v>
      </c>
      <c r="N13" s="31" t="n">
        <v>1.75</v>
      </c>
      <c r="O13" s="32" t="n">
        <f aca="false">SUM(G13:L13)</f>
        <v>0</v>
      </c>
      <c r="P13" s="33" t="n">
        <f aca="false">O13*N13</f>
        <v>0</v>
      </c>
      <c r="Q13" s="34" t="n">
        <f aca="false">F13</f>
        <v>0</v>
      </c>
      <c r="R13" s="36" t="n">
        <v>1.85</v>
      </c>
      <c r="S13" s="36" t="n">
        <f aca="false">(R13*Q13)</f>
        <v>0</v>
      </c>
      <c r="T13" s="36" t="n">
        <f aca="false">P13+S13</f>
        <v>0</v>
      </c>
      <c r="U13" s="43"/>
      <c r="V13" s="43"/>
      <c r="W13" s="43"/>
      <c r="X13" s="43"/>
      <c r="Y13" s="43"/>
      <c r="Z13" s="47"/>
      <c r="AA13" s="44"/>
      <c r="AB13" s="45"/>
    </row>
    <row r="14" customFormat="false" ht="15.75" hidden="false" customHeight="true" outlineLevel="0" collapsed="false">
      <c r="A14" s="26"/>
      <c r="B14" s="26"/>
      <c r="C14" s="26"/>
      <c r="D14" s="27"/>
      <c r="E14" s="28"/>
      <c r="F14" s="29"/>
      <c r="G14" s="29"/>
      <c r="H14" s="29"/>
      <c r="I14" s="29"/>
      <c r="J14" s="29"/>
      <c r="K14" s="29"/>
      <c r="L14" s="29"/>
      <c r="M14" s="42" t="n">
        <f aca="false">SUM(F14:L14)</f>
        <v>0</v>
      </c>
      <c r="N14" s="31" t="n">
        <v>1.75</v>
      </c>
      <c r="O14" s="32" t="n">
        <f aca="false">SUM(G14:L14)</f>
        <v>0</v>
      </c>
      <c r="P14" s="33" t="n">
        <f aca="false">O14*N14</f>
        <v>0</v>
      </c>
      <c r="Q14" s="34" t="n">
        <f aca="false">F14</f>
        <v>0</v>
      </c>
      <c r="R14" s="36" t="n">
        <v>1.85</v>
      </c>
      <c r="S14" s="36" t="n">
        <f aca="false">(R14*Q14)</f>
        <v>0</v>
      </c>
      <c r="T14" s="36" t="n">
        <f aca="false">P14+S14</f>
        <v>0</v>
      </c>
      <c r="U14" s="43"/>
      <c r="V14" s="43"/>
      <c r="W14" s="43"/>
      <c r="X14" s="43"/>
      <c r="Y14" s="43"/>
      <c r="Z14" s="38" t="n">
        <f aca="false">T14+U14-V14-W14-X14-Y14</f>
        <v>0</v>
      </c>
      <c r="AA14" s="44"/>
      <c r="AB14" s="45"/>
    </row>
    <row r="15" customFormat="false" ht="15.75" hidden="false" customHeight="true" outlineLevel="0" collapsed="false">
      <c r="A15" s="26"/>
      <c r="B15" s="26"/>
      <c r="C15" s="26"/>
      <c r="D15" s="27"/>
      <c r="E15" s="28"/>
      <c r="F15" s="29"/>
      <c r="G15" s="29"/>
      <c r="H15" s="29"/>
      <c r="I15" s="29"/>
      <c r="J15" s="29"/>
      <c r="K15" s="29"/>
      <c r="L15" s="29"/>
      <c r="M15" s="42" t="n">
        <f aca="false">SUM(F15:L15)</f>
        <v>0</v>
      </c>
      <c r="N15" s="31" t="n">
        <v>1.75</v>
      </c>
      <c r="O15" s="32" t="n">
        <f aca="false">SUM(G15:L15)</f>
        <v>0</v>
      </c>
      <c r="P15" s="33" t="n">
        <f aca="false">O15*N15</f>
        <v>0</v>
      </c>
      <c r="Q15" s="34" t="n">
        <f aca="false">F15</f>
        <v>0</v>
      </c>
      <c r="R15" s="36" t="n">
        <v>1.85</v>
      </c>
      <c r="S15" s="36" t="n">
        <f aca="false">(R15*Q15)</f>
        <v>0</v>
      </c>
      <c r="T15" s="36" t="n">
        <f aca="false">P15+S15</f>
        <v>0</v>
      </c>
      <c r="U15" s="43"/>
      <c r="V15" s="43"/>
      <c r="W15" s="43"/>
      <c r="X15" s="43"/>
      <c r="Y15" s="43"/>
      <c r="Z15" s="38" t="n">
        <f aca="false">T15+U15-V15-W15-X15-Y15</f>
        <v>0</v>
      </c>
      <c r="AA15" s="44"/>
      <c r="AB15" s="45"/>
    </row>
    <row r="16" customFormat="false" ht="15.75" hidden="false" customHeight="true" outlineLevel="0" collapsed="false">
      <c r="A16" s="26"/>
      <c r="B16" s="26"/>
      <c r="C16" s="26"/>
      <c r="D16" s="27"/>
      <c r="E16" s="28"/>
      <c r="F16" s="29"/>
      <c r="G16" s="29"/>
      <c r="H16" s="29"/>
      <c r="I16" s="29"/>
      <c r="J16" s="29"/>
      <c r="K16" s="29"/>
      <c r="L16" s="29"/>
      <c r="M16" s="42" t="n">
        <f aca="false">SUM(F16:L16)</f>
        <v>0</v>
      </c>
      <c r="N16" s="31" t="n">
        <v>1.75</v>
      </c>
      <c r="O16" s="32" t="n">
        <f aca="false">SUM(G16:L16)</f>
        <v>0</v>
      </c>
      <c r="P16" s="33" t="n">
        <f aca="false">O16*N16</f>
        <v>0</v>
      </c>
      <c r="Q16" s="34" t="n">
        <f aca="false">F16</f>
        <v>0</v>
      </c>
      <c r="R16" s="36" t="n">
        <v>1.85</v>
      </c>
      <c r="S16" s="36" t="n">
        <f aca="false">(R16*Q16)</f>
        <v>0</v>
      </c>
      <c r="T16" s="36" t="n">
        <f aca="false">P16+S16</f>
        <v>0</v>
      </c>
      <c r="U16" s="43"/>
      <c r="V16" s="43" t="n">
        <v>300</v>
      </c>
      <c r="W16" s="43"/>
      <c r="X16" s="43"/>
      <c r="Y16" s="43"/>
      <c r="Z16" s="38" t="n">
        <f aca="false">T16+U16-V16-W16-X16-Y16</f>
        <v>-300</v>
      </c>
      <c r="AA16" s="44"/>
      <c r="AB16" s="45"/>
    </row>
    <row r="17" s="51" customFormat="true" ht="15.75" hidden="false" customHeight="true" outlineLevel="0" collapsed="false">
      <c r="A17" s="26"/>
      <c r="B17" s="26"/>
      <c r="C17" s="26"/>
      <c r="D17" s="27"/>
      <c r="E17" s="28"/>
      <c r="F17" s="29"/>
      <c r="G17" s="29"/>
      <c r="H17" s="29"/>
      <c r="I17" s="29"/>
      <c r="J17" s="29"/>
      <c r="K17" s="29"/>
      <c r="L17" s="29"/>
      <c r="M17" s="42" t="n">
        <f aca="false">SUM(F17:L17)</f>
        <v>0</v>
      </c>
      <c r="N17" s="31" t="n">
        <v>1.75</v>
      </c>
      <c r="O17" s="32" t="n">
        <f aca="false">SUM(G17:L17)</f>
        <v>0</v>
      </c>
      <c r="P17" s="33" t="n">
        <f aca="false">O17*N17</f>
        <v>0</v>
      </c>
      <c r="Q17" s="34" t="n">
        <f aca="false">F17</f>
        <v>0</v>
      </c>
      <c r="R17" s="36" t="n">
        <v>1.85</v>
      </c>
      <c r="S17" s="36" t="n">
        <f aca="false">(R17*Q17)</f>
        <v>0</v>
      </c>
      <c r="T17" s="36" t="n">
        <f aca="false">P17+S17</f>
        <v>0</v>
      </c>
      <c r="U17" s="49"/>
      <c r="V17" s="43"/>
      <c r="W17" s="43"/>
      <c r="X17" s="43"/>
      <c r="Y17" s="43"/>
      <c r="Z17" s="38" t="n">
        <f aca="false">T17+U17-V17-W17-X17-Y17</f>
        <v>0</v>
      </c>
      <c r="AA17" s="44"/>
      <c r="AB17" s="45"/>
      <c r="AC17" s="50"/>
    </row>
    <row r="18" customFormat="false" ht="15.75" hidden="false" customHeight="true" outlineLevel="0" collapsed="false">
      <c r="A18" s="26"/>
      <c r="B18" s="26"/>
      <c r="C18" s="26"/>
      <c r="D18" s="27"/>
      <c r="E18" s="28"/>
      <c r="F18" s="29"/>
      <c r="G18" s="29"/>
      <c r="H18" s="29"/>
      <c r="I18" s="29"/>
      <c r="J18" s="29"/>
      <c r="K18" s="29"/>
      <c r="L18" s="29"/>
      <c r="M18" s="42" t="n">
        <f aca="false">SUM(F18:L18)</f>
        <v>0</v>
      </c>
      <c r="N18" s="31" t="n">
        <v>1.75</v>
      </c>
      <c r="O18" s="32" t="n">
        <f aca="false">SUM(G18:L18)</f>
        <v>0</v>
      </c>
      <c r="P18" s="33" t="n">
        <f aca="false">O18*N18</f>
        <v>0</v>
      </c>
      <c r="Q18" s="34" t="n">
        <f aca="false">F18</f>
        <v>0</v>
      </c>
      <c r="R18" s="36" t="n">
        <v>1.85</v>
      </c>
      <c r="S18" s="36" t="n">
        <f aca="false">(R18*Q18)</f>
        <v>0</v>
      </c>
      <c r="T18" s="36" t="n">
        <f aca="false">P18+S18</f>
        <v>0</v>
      </c>
      <c r="U18" s="43"/>
      <c r="V18" s="43"/>
      <c r="W18" s="43"/>
      <c r="X18" s="43"/>
      <c r="Y18" s="43"/>
      <c r="Z18" s="38" t="n">
        <f aca="false">T18+U18-V18-W18-X18-Y18</f>
        <v>0</v>
      </c>
      <c r="AA18" s="44"/>
      <c r="AB18" s="45"/>
    </row>
    <row r="19" customFormat="false" ht="15.75" hidden="false" customHeight="true" outlineLevel="0" collapsed="false">
      <c r="A19" s="26"/>
      <c r="B19" s="26"/>
      <c r="C19" s="26"/>
      <c r="D19" s="27"/>
      <c r="E19" s="28"/>
      <c r="F19" s="29"/>
      <c r="G19" s="29"/>
      <c r="H19" s="29"/>
      <c r="I19" s="29"/>
      <c r="J19" s="29"/>
      <c r="K19" s="29"/>
      <c r="L19" s="29"/>
      <c r="M19" s="42" t="n">
        <f aca="false">SUM(F19:L19)</f>
        <v>0</v>
      </c>
      <c r="N19" s="31" t="n">
        <v>1.75</v>
      </c>
      <c r="O19" s="32" t="n">
        <f aca="false">SUM(G19:L19)</f>
        <v>0</v>
      </c>
      <c r="P19" s="33" t="n">
        <f aca="false">O19*N19</f>
        <v>0</v>
      </c>
      <c r="Q19" s="34" t="n">
        <f aca="false">F19</f>
        <v>0</v>
      </c>
      <c r="R19" s="36" t="n">
        <v>1.85</v>
      </c>
      <c r="S19" s="36" t="n">
        <f aca="false">(R19*Q19)</f>
        <v>0</v>
      </c>
      <c r="T19" s="36" t="n">
        <f aca="false">P19+S19</f>
        <v>0</v>
      </c>
      <c r="U19" s="43"/>
      <c r="V19" s="43"/>
      <c r="W19" s="43"/>
      <c r="X19" s="43"/>
      <c r="Y19" s="43"/>
      <c r="Z19" s="38" t="n">
        <f aca="false">T19+U19-V19-W19-X19-Y19</f>
        <v>0</v>
      </c>
    </row>
    <row r="20" customFormat="false" ht="15.75" hidden="false" customHeight="true" outlineLevel="0" collapsed="false">
      <c r="A20" s="26"/>
      <c r="B20" s="26"/>
      <c r="C20" s="26"/>
      <c r="D20" s="27"/>
      <c r="E20" s="28"/>
      <c r="F20" s="13"/>
      <c r="G20" s="13"/>
      <c r="H20" s="13"/>
      <c r="I20" s="13"/>
      <c r="J20" s="13"/>
      <c r="K20" s="13"/>
      <c r="M20" s="42" t="n">
        <f aca="false">SUM(F20:L20)</f>
        <v>0</v>
      </c>
      <c r="N20" s="31" t="n">
        <v>1.75</v>
      </c>
      <c r="O20" s="32" t="n">
        <f aca="false">SUM(G20:L20)</f>
        <v>0</v>
      </c>
      <c r="P20" s="33" t="n">
        <f aca="false">O20*N20</f>
        <v>0</v>
      </c>
      <c r="Q20" s="34" t="n">
        <f aca="false">F20</f>
        <v>0</v>
      </c>
      <c r="R20" s="36" t="n">
        <v>1.85</v>
      </c>
      <c r="S20" s="36" t="n">
        <f aca="false">(R20*Q20)</f>
        <v>0</v>
      </c>
      <c r="T20" s="36" t="n">
        <f aca="false">P20+S20</f>
        <v>0</v>
      </c>
      <c r="U20" s="52"/>
      <c r="V20" s="43"/>
      <c r="W20" s="43"/>
      <c r="X20" s="43"/>
      <c r="Y20" s="43"/>
      <c r="Z20" s="38" t="n">
        <f aca="false">T20+U20-V20-W20-X20-Y20</f>
        <v>0</v>
      </c>
      <c r="AA20" s="44"/>
      <c r="AB20" s="45"/>
    </row>
    <row r="21" customFormat="false" ht="15.75" hidden="false" customHeight="true" outlineLevel="0" collapsed="false">
      <c r="A21" s="26"/>
      <c r="B21" s="26"/>
      <c r="C21" s="26"/>
      <c r="D21" s="27"/>
      <c r="E21" s="28"/>
      <c r="F21" s="29"/>
      <c r="G21" s="29"/>
      <c r="H21" s="29"/>
      <c r="I21" s="29"/>
      <c r="J21" s="29"/>
      <c r="K21" s="29"/>
      <c r="L21" s="29"/>
      <c r="M21" s="42" t="n">
        <f aca="false">SUM(F21:L21)</f>
        <v>0</v>
      </c>
      <c r="N21" s="31" t="n">
        <v>1.75</v>
      </c>
      <c r="O21" s="32" t="n">
        <f aca="false">SUM(G21:L21)</f>
        <v>0</v>
      </c>
      <c r="P21" s="33" t="n">
        <f aca="false">O21*N21</f>
        <v>0</v>
      </c>
      <c r="Q21" s="34" t="n">
        <f aca="false">F21</f>
        <v>0</v>
      </c>
      <c r="R21" s="36" t="n">
        <v>1.85</v>
      </c>
      <c r="S21" s="36" t="n">
        <f aca="false">(R21*Q21)</f>
        <v>0</v>
      </c>
      <c r="T21" s="36" t="n">
        <f aca="false">P21+S21</f>
        <v>0</v>
      </c>
      <c r="U21" s="43"/>
      <c r="V21" s="43"/>
      <c r="W21" s="43"/>
      <c r="X21" s="43"/>
      <c r="Y21" s="43"/>
      <c r="Z21" s="38" t="n">
        <f aca="false">T21+U21-V21-W21-X21-Y21</f>
        <v>0</v>
      </c>
      <c r="AA21" s="44"/>
      <c r="AB21" s="45"/>
    </row>
    <row r="22" customFormat="false" ht="15.75" hidden="false" customHeight="true" outlineLevel="0" collapsed="false">
      <c r="A22" s="26"/>
      <c r="B22" s="26"/>
      <c r="C22" s="26"/>
      <c r="D22" s="27"/>
      <c r="E22" s="28"/>
      <c r="F22" s="29"/>
      <c r="G22" s="29"/>
      <c r="H22" s="29"/>
      <c r="I22" s="29"/>
      <c r="J22" s="29"/>
      <c r="K22" s="29"/>
      <c r="L22" s="29"/>
      <c r="M22" s="42" t="n">
        <f aca="false">SUM(F22:L22)</f>
        <v>0</v>
      </c>
      <c r="N22" s="31" t="n">
        <v>1.75</v>
      </c>
      <c r="O22" s="32" t="n">
        <f aca="false">SUM(G22:L22)</f>
        <v>0</v>
      </c>
      <c r="P22" s="33" t="n">
        <f aca="false">O22*N22</f>
        <v>0</v>
      </c>
      <c r="Q22" s="34" t="n">
        <f aca="false">F22</f>
        <v>0</v>
      </c>
      <c r="R22" s="36" t="n">
        <v>1.85</v>
      </c>
      <c r="S22" s="36" t="n">
        <f aca="false">(R22*Q22)</f>
        <v>0</v>
      </c>
      <c r="T22" s="36" t="n">
        <f aca="false">P22+S22</f>
        <v>0</v>
      </c>
      <c r="U22" s="49"/>
      <c r="V22" s="43" t="n">
        <v>150</v>
      </c>
      <c r="W22" s="43"/>
      <c r="X22" s="43"/>
      <c r="Y22" s="43"/>
      <c r="Z22" s="38" t="n">
        <f aca="false">T22+U22-V22-W22-X22-Y22</f>
        <v>-150</v>
      </c>
      <c r="AA22" s="45"/>
      <c r="AB22" s="45"/>
    </row>
    <row r="23" s="63" customFormat="true" ht="15.75" hidden="false" customHeight="true" outlineLevel="0" collapsed="false">
      <c r="A23" s="53"/>
      <c r="B23" s="53"/>
      <c r="C23" s="53"/>
      <c r="D23" s="54" t="s">
        <v>30</v>
      </c>
      <c r="E23" s="54"/>
      <c r="F23" s="55"/>
      <c r="G23" s="55"/>
      <c r="H23" s="55"/>
      <c r="I23" s="55"/>
      <c r="J23" s="55"/>
      <c r="K23" s="55"/>
      <c r="L23" s="55"/>
      <c r="M23" s="56"/>
      <c r="N23" s="57"/>
      <c r="O23" s="58"/>
      <c r="P23" s="59"/>
      <c r="Q23" s="60"/>
      <c r="R23" s="61"/>
      <c r="S23" s="61"/>
      <c r="T23" s="61"/>
      <c r="U23" s="62"/>
      <c r="V23" s="62"/>
      <c r="W23" s="62"/>
      <c r="X23" s="62"/>
      <c r="Y23" s="62"/>
      <c r="Z23" s="61"/>
    </row>
    <row r="24" s="68" customFormat="true" ht="15.75" hidden="false" customHeight="true" outlineLevel="0" collapsed="false">
      <c r="A24" s="64"/>
      <c r="B24" s="64"/>
      <c r="C24" s="64"/>
      <c r="D24" s="65"/>
      <c r="E24" s="66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38"/>
    </row>
    <row r="25" customFormat="false" ht="15.75" hidden="false" customHeight="true" outlineLevel="0" collapsed="false">
      <c r="A25" s="69"/>
      <c r="B25" s="69"/>
      <c r="C25" s="69"/>
      <c r="D25" s="70"/>
      <c r="E25" s="28"/>
      <c r="F25" s="13"/>
      <c r="G25" s="71"/>
      <c r="H25" s="13"/>
      <c r="I25" s="13"/>
      <c r="J25" s="13"/>
      <c r="K25" s="13"/>
      <c r="M25" s="72" t="n">
        <f aca="false">SUM(F25:L25)</f>
        <v>0</v>
      </c>
      <c r="N25" s="36" t="n">
        <v>1.75</v>
      </c>
      <c r="O25" s="34" t="n">
        <f aca="false">SUM(G25:L25)</f>
        <v>0</v>
      </c>
      <c r="P25" s="73" t="n">
        <f aca="false">N25*O25</f>
        <v>0</v>
      </c>
      <c r="Q25" s="34" t="n">
        <f aca="false">F25</f>
        <v>0</v>
      </c>
      <c r="R25" s="36" t="n">
        <v>1.85</v>
      </c>
      <c r="S25" s="36" t="n">
        <f aca="false">(R25*F25)</f>
        <v>0</v>
      </c>
      <c r="T25" s="36" t="n">
        <f aca="false">SUM(P25,S25)</f>
        <v>0</v>
      </c>
      <c r="U25" s="43"/>
      <c r="V25" s="43"/>
      <c r="W25" s="43"/>
      <c r="X25" s="43"/>
      <c r="Y25" s="43"/>
      <c r="Z25" s="38" t="n">
        <f aca="false">T25+U25-V25-W25-X25-Y25</f>
        <v>0</v>
      </c>
    </row>
    <row r="26" customFormat="false" ht="15.75" hidden="false" customHeight="true" outlineLevel="0" collapsed="false">
      <c r="A26" s="69"/>
      <c r="B26" s="69"/>
      <c r="C26" s="69"/>
      <c r="D26" s="70"/>
      <c r="E26" s="28"/>
      <c r="F26" s="74"/>
      <c r="G26" s="74"/>
      <c r="H26" s="74"/>
      <c r="I26" s="74"/>
      <c r="J26" s="74"/>
      <c r="K26" s="74"/>
      <c r="L26" s="74"/>
      <c r="M26" s="72" t="n">
        <f aca="false">SUM(F26:L26)</f>
        <v>0</v>
      </c>
      <c r="N26" s="36" t="n">
        <v>1.75</v>
      </c>
      <c r="O26" s="34" t="n">
        <f aca="false">SUM(G26:L26)</f>
        <v>0</v>
      </c>
      <c r="P26" s="73" t="n">
        <f aca="false">N26*O26</f>
        <v>0</v>
      </c>
      <c r="Q26" s="75" t="n">
        <f aca="false">F26</f>
        <v>0</v>
      </c>
      <c r="R26" s="36" t="n">
        <v>1.85</v>
      </c>
      <c r="S26" s="36" t="n">
        <f aca="false">(R26*F26)</f>
        <v>0</v>
      </c>
      <c r="T26" s="36" t="n">
        <f aca="false">SUM(P26,S26)</f>
        <v>0</v>
      </c>
      <c r="U26" s="43"/>
      <c r="V26" s="43"/>
      <c r="W26" s="43"/>
      <c r="X26" s="43"/>
      <c r="Y26" s="43"/>
      <c r="Z26" s="38" t="n">
        <f aca="false">T26+U26-V26-W26-X26-Y26</f>
        <v>0</v>
      </c>
    </row>
    <row r="27" customFormat="false" ht="15.75" hidden="false" customHeight="true" outlineLevel="0" collapsed="false">
      <c r="A27" s="69"/>
      <c r="B27" s="69"/>
      <c r="C27" s="69"/>
      <c r="D27" s="70"/>
      <c r="E27" s="28"/>
      <c r="F27" s="74"/>
      <c r="G27" s="74"/>
      <c r="H27" s="74"/>
      <c r="I27" s="74"/>
      <c r="J27" s="74"/>
      <c r="K27" s="74"/>
      <c r="L27" s="74"/>
      <c r="M27" s="72" t="n">
        <f aca="false">SUM(F27:L27)</f>
        <v>0</v>
      </c>
      <c r="N27" s="36" t="n">
        <v>1.75</v>
      </c>
      <c r="O27" s="34" t="n">
        <f aca="false">SUM(G27:L27)</f>
        <v>0</v>
      </c>
      <c r="P27" s="73" t="n">
        <f aca="false">N27*O27</f>
        <v>0</v>
      </c>
      <c r="Q27" s="75" t="n">
        <f aca="false">F27</f>
        <v>0</v>
      </c>
      <c r="R27" s="36" t="n">
        <v>2.35</v>
      </c>
      <c r="S27" s="36" t="n">
        <f aca="false">(R27*F27)</f>
        <v>0</v>
      </c>
      <c r="T27" s="36" t="n">
        <f aca="false">SUM(P27,S27)</f>
        <v>0</v>
      </c>
      <c r="U27" s="43"/>
      <c r="V27" s="43"/>
      <c r="W27" s="43"/>
      <c r="X27" s="43"/>
      <c r="Y27" s="43"/>
      <c r="Z27" s="38" t="n">
        <f aca="false">T27+U27-V27-W27-X27-Y27</f>
        <v>0</v>
      </c>
    </row>
    <row r="28" customFormat="false" ht="15.75" hidden="false" customHeight="true" outlineLevel="0" collapsed="false">
      <c r="A28" s="69"/>
      <c r="B28" s="69"/>
      <c r="C28" s="69"/>
      <c r="D28" s="70"/>
      <c r="E28" s="28"/>
      <c r="F28" s="74"/>
      <c r="G28" s="74"/>
      <c r="H28" s="74"/>
      <c r="I28" s="74"/>
      <c r="J28" s="74"/>
      <c r="K28" s="74"/>
      <c r="L28" s="74"/>
      <c r="M28" s="72" t="n">
        <f aca="false">SUM(F28:L28)</f>
        <v>0</v>
      </c>
      <c r="N28" s="36" t="n">
        <v>1.75</v>
      </c>
      <c r="O28" s="34" t="n">
        <f aca="false">SUM(G28:L28)</f>
        <v>0</v>
      </c>
      <c r="P28" s="73" t="n">
        <f aca="false">N28*O28</f>
        <v>0</v>
      </c>
      <c r="Q28" s="75" t="n">
        <f aca="false">F28</f>
        <v>0</v>
      </c>
      <c r="R28" s="36" t="n">
        <v>1.85</v>
      </c>
      <c r="S28" s="36" t="n">
        <f aca="false">(R28*F28)</f>
        <v>0</v>
      </c>
      <c r="T28" s="36"/>
      <c r="U28" s="43"/>
      <c r="V28" s="43"/>
      <c r="W28" s="43"/>
      <c r="X28" s="43"/>
      <c r="Y28" s="43"/>
      <c r="Z28" s="38"/>
    </row>
    <row r="29" customFormat="false" ht="15.75" hidden="false" customHeight="true" outlineLevel="0" collapsed="false">
      <c r="A29" s="69"/>
      <c r="B29" s="69"/>
      <c r="C29" s="69"/>
      <c r="D29" s="70"/>
      <c r="E29" s="28"/>
      <c r="F29" s="74"/>
      <c r="G29" s="74"/>
      <c r="H29" s="74"/>
      <c r="I29" s="74"/>
      <c r="J29" s="74"/>
      <c r="K29" s="74"/>
      <c r="L29" s="74"/>
      <c r="M29" s="72" t="n">
        <f aca="false">SUM(F29:L29)</f>
        <v>0</v>
      </c>
      <c r="N29" s="36" t="n">
        <v>1.75</v>
      </c>
      <c r="O29" s="34" t="n">
        <f aca="false">SUM(G29:L29)</f>
        <v>0</v>
      </c>
      <c r="P29" s="73" t="n">
        <f aca="false">N29*O29</f>
        <v>0</v>
      </c>
      <c r="Q29" s="75" t="n">
        <f aca="false">F29</f>
        <v>0</v>
      </c>
      <c r="R29" s="36" t="n">
        <v>1.85</v>
      </c>
      <c r="S29" s="36" t="n">
        <f aca="false">(R29*F29)</f>
        <v>0</v>
      </c>
      <c r="T29" s="36" t="n">
        <f aca="false">SUM(P29,S29)</f>
        <v>0</v>
      </c>
      <c r="U29" s="49" t="n">
        <v>427</v>
      </c>
      <c r="V29" s="43"/>
      <c r="W29" s="43"/>
      <c r="X29" s="43"/>
      <c r="Y29" s="43"/>
      <c r="Z29" s="38" t="n">
        <f aca="false">T29+U29-V29-W29-X29-Y29</f>
        <v>427</v>
      </c>
    </row>
    <row r="30" customFormat="false" ht="15.75" hidden="false" customHeight="true" outlineLevel="0" collapsed="false">
      <c r="A30" s="69"/>
      <c r="B30" s="69"/>
      <c r="C30" s="69"/>
      <c r="D30" s="76"/>
      <c r="E30" s="77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38" t="n">
        <f aca="false">T30+U30-V30-W30-X30-Y30</f>
        <v>0</v>
      </c>
    </row>
    <row r="31" customFormat="false" ht="15.75" hidden="false" customHeight="true" outlineLevel="0" collapsed="false">
      <c r="A31" s="69"/>
      <c r="B31" s="69"/>
      <c r="C31" s="69"/>
      <c r="D31" s="78"/>
      <c r="E31" s="79"/>
      <c r="F31" s="80"/>
      <c r="G31" s="81"/>
      <c r="H31" s="81"/>
      <c r="I31" s="81"/>
      <c r="J31" s="81"/>
      <c r="K31" s="81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38" t="n">
        <f aca="false">T31+U31-V31-W31-X31-Y31</f>
        <v>0</v>
      </c>
    </row>
    <row r="32" customFormat="false" ht="15.75" hidden="false" customHeight="true" outlineLevel="0" collapsed="false">
      <c r="A32" s="69"/>
      <c r="B32" s="69"/>
      <c r="C32" s="69"/>
      <c r="D32" s="27"/>
      <c r="E32" s="28"/>
      <c r="F32" s="72"/>
      <c r="G32" s="72"/>
      <c r="H32" s="72"/>
      <c r="I32" s="72"/>
      <c r="J32" s="72"/>
      <c r="K32" s="72"/>
      <c r="L32" s="72"/>
      <c r="M32" s="72" t="n">
        <f aca="false">SUM(F32:L32)</f>
        <v>0</v>
      </c>
      <c r="N32" s="73" t="n">
        <v>1.75</v>
      </c>
      <c r="O32" s="32" t="n">
        <f aca="false">SUM(G32:L32)</f>
        <v>0</v>
      </c>
      <c r="P32" s="83" t="n">
        <f aca="false">SUM(G32:L32)</f>
        <v>0</v>
      </c>
      <c r="Q32" s="32" t="n">
        <f aca="false">F32</f>
        <v>0</v>
      </c>
      <c r="R32" s="83" t="n">
        <v>1.85</v>
      </c>
      <c r="S32" s="83" t="n">
        <f aca="false">Q32*R32</f>
        <v>0</v>
      </c>
      <c r="T32" s="83" t="n">
        <f aca="false">S32+P32</f>
        <v>0</v>
      </c>
      <c r="U32" s="83"/>
      <c r="V32" s="34"/>
      <c r="W32" s="76"/>
      <c r="X32" s="76"/>
      <c r="Y32" s="76"/>
      <c r="Z32" s="38" t="n">
        <f aca="false">T32+U32-V32-W32-X32-Y32</f>
        <v>0</v>
      </c>
    </row>
    <row r="33" customFormat="false" ht="15.75" hidden="false" customHeight="true" outlineLevel="0" collapsed="false">
      <c r="A33" s="69"/>
      <c r="B33" s="69"/>
      <c r="C33" s="69"/>
      <c r="D33" s="27"/>
      <c r="E33" s="28"/>
      <c r="F33" s="72"/>
      <c r="G33" s="72"/>
      <c r="H33" s="72"/>
      <c r="I33" s="72"/>
      <c r="J33" s="72"/>
      <c r="K33" s="72"/>
      <c r="L33" s="72"/>
      <c r="M33" s="72" t="n">
        <f aca="false">SUM(F33:L33)</f>
        <v>0</v>
      </c>
      <c r="N33" s="73" t="n">
        <v>1.75</v>
      </c>
      <c r="O33" s="32" t="n">
        <f aca="false">SUM(G33:L33)</f>
        <v>0</v>
      </c>
      <c r="P33" s="83" t="n">
        <f aca="false">N33*O33</f>
        <v>0</v>
      </c>
      <c r="Q33" s="32" t="n">
        <f aca="false">F33</f>
        <v>0</v>
      </c>
      <c r="R33" s="42" t="n">
        <v>1.85</v>
      </c>
      <c r="S33" s="83" t="n">
        <f aca="false">Q33*R33</f>
        <v>0</v>
      </c>
      <c r="T33" s="83" t="n">
        <f aca="false">S33+P33</f>
        <v>0</v>
      </c>
      <c r="U33" s="83"/>
      <c r="V33" s="34" t="n">
        <v>300</v>
      </c>
      <c r="W33" s="76"/>
      <c r="X33" s="76"/>
      <c r="Y33" s="76"/>
      <c r="Z33" s="38" t="n">
        <f aca="false">T33+U33-V33-W33-X33-Y33</f>
        <v>-300</v>
      </c>
    </row>
    <row r="34" customFormat="false" ht="15.75" hidden="false" customHeight="true" outlineLevel="0" collapsed="false">
      <c r="A34" s="26"/>
      <c r="B34" s="26"/>
      <c r="C34" s="26"/>
      <c r="D34" s="84"/>
      <c r="E34" s="28"/>
      <c r="F34" s="72"/>
      <c r="G34" s="72"/>
      <c r="H34" s="72"/>
      <c r="I34" s="72"/>
      <c r="J34" s="72"/>
      <c r="K34" s="72"/>
      <c r="L34" s="72"/>
      <c r="M34" s="72" t="n">
        <f aca="false">SUM(F34:L34)</f>
        <v>0</v>
      </c>
      <c r="N34" s="73" t="n">
        <v>1.75</v>
      </c>
      <c r="O34" s="32" t="n">
        <f aca="false">SUM(G34:L34)</f>
        <v>0</v>
      </c>
      <c r="P34" s="83" t="n">
        <f aca="false">N34*O34</f>
        <v>0</v>
      </c>
      <c r="Q34" s="32" t="n">
        <f aca="false">F34</f>
        <v>0</v>
      </c>
      <c r="R34" s="83" t="n">
        <v>1.85</v>
      </c>
      <c r="S34" s="83" t="n">
        <f aca="false">Q34*R34</f>
        <v>0</v>
      </c>
      <c r="T34" s="83" t="n">
        <f aca="false">S34+P34</f>
        <v>0</v>
      </c>
      <c r="U34" s="83"/>
      <c r="V34" s="34"/>
      <c r="W34" s="76"/>
      <c r="X34" s="76"/>
      <c r="Y34" s="76"/>
      <c r="Z34" s="38" t="n">
        <f aca="false">T34+U34-V34-W34-X34-Y34</f>
        <v>0</v>
      </c>
    </row>
    <row r="35" customFormat="false" ht="15.75" hidden="false" customHeight="true" outlineLevel="0" collapsed="false">
      <c r="A35" s="26"/>
      <c r="B35" s="26"/>
      <c r="C35" s="26"/>
      <c r="D35" s="84"/>
      <c r="E35" s="28"/>
      <c r="F35" s="72"/>
      <c r="G35" s="72"/>
      <c r="H35" s="72"/>
      <c r="I35" s="72"/>
      <c r="J35" s="72"/>
      <c r="K35" s="72"/>
      <c r="L35" s="72"/>
      <c r="M35" s="72" t="n">
        <f aca="false">SUM(F35:L35)</f>
        <v>0</v>
      </c>
      <c r="N35" s="73" t="n">
        <v>1.75</v>
      </c>
      <c r="O35" s="32" t="n">
        <f aca="false">SUM(G35:L35)</f>
        <v>0</v>
      </c>
      <c r="P35" s="83" t="n">
        <f aca="false">N35*O35</f>
        <v>0</v>
      </c>
      <c r="Q35" s="32" t="n">
        <f aca="false">F35</f>
        <v>0</v>
      </c>
      <c r="R35" s="83" t="n">
        <v>1.85</v>
      </c>
      <c r="S35" s="83" t="n">
        <f aca="false">Q35*R35</f>
        <v>0</v>
      </c>
      <c r="T35" s="83" t="n">
        <f aca="false">S35+P35</f>
        <v>0</v>
      </c>
      <c r="U35" s="83"/>
      <c r="V35" s="34"/>
      <c r="W35" s="76"/>
      <c r="X35" s="76"/>
      <c r="Y35" s="76"/>
      <c r="Z35" s="38" t="n">
        <f aca="false">T35+U35-V35-W35-X35-Y35</f>
        <v>0</v>
      </c>
    </row>
    <row r="36" customFormat="false" ht="15.75" hidden="false" customHeight="true" outlineLevel="0" collapsed="false">
      <c r="A36" s="69"/>
      <c r="B36" s="69"/>
      <c r="C36" s="69"/>
      <c r="D36" s="27"/>
      <c r="E36" s="28"/>
      <c r="F36" s="72"/>
      <c r="G36" s="72"/>
      <c r="H36" s="72"/>
      <c r="I36" s="72"/>
      <c r="J36" s="72"/>
      <c r="K36" s="72"/>
      <c r="L36" s="72"/>
      <c r="M36" s="72" t="n">
        <f aca="false">SUM(F36:L36)</f>
        <v>0</v>
      </c>
      <c r="N36" s="73" t="n">
        <v>1.75</v>
      </c>
      <c r="O36" s="32" t="n">
        <f aca="false">SUM(G36:L36)</f>
        <v>0</v>
      </c>
      <c r="P36" s="83" t="n">
        <f aca="false">N36*O36</f>
        <v>0</v>
      </c>
      <c r="Q36" s="32" t="n">
        <f aca="false">F36</f>
        <v>0</v>
      </c>
      <c r="R36" s="83" t="n">
        <v>1.85</v>
      </c>
      <c r="S36" s="83" t="n">
        <f aca="false">Q36*R36</f>
        <v>0</v>
      </c>
      <c r="T36" s="83" t="n">
        <f aca="false">S36+P36</f>
        <v>0</v>
      </c>
      <c r="U36" s="83"/>
      <c r="V36" s="34"/>
      <c r="W36" s="76"/>
      <c r="X36" s="76"/>
      <c r="Y36" s="76"/>
      <c r="Z36" s="38" t="n">
        <v>625.25</v>
      </c>
    </row>
    <row r="37" customFormat="false" ht="15.75" hidden="false" customHeight="true" outlineLevel="0" collapsed="false">
      <c r="A37" s="69"/>
      <c r="B37" s="69"/>
      <c r="C37" s="69"/>
      <c r="D37" s="27"/>
      <c r="E37" s="28"/>
      <c r="F37" s="72"/>
      <c r="G37" s="72"/>
      <c r="H37" s="72"/>
      <c r="I37" s="72"/>
      <c r="J37" s="72"/>
      <c r="K37" s="72"/>
      <c r="L37" s="72"/>
      <c r="M37" s="72" t="n">
        <f aca="false">SUM(F37:L37)</f>
        <v>0</v>
      </c>
      <c r="N37" s="73" t="n">
        <v>1.75</v>
      </c>
      <c r="O37" s="32" t="n">
        <f aca="false">SUM(G37:L37)</f>
        <v>0</v>
      </c>
      <c r="P37" s="83" t="n">
        <f aca="false">N37*O37</f>
        <v>0</v>
      </c>
      <c r="Q37" s="32" t="n">
        <f aca="false">F37</f>
        <v>0</v>
      </c>
      <c r="R37" s="83" t="n">
        <v>1.85</v>
      </c>
      <c r="S37" s="83" t="n">
        <f aca="false">Q37*R37</f>
        <v>0</v>
      </c>
      <c r="T37" s="83" t="n">
        <f aca="false">S37+P37</f>
        <v>0</v>
      </c>
      <c r="U37" s="85"/>
      <c r="V37" s="86"/>
      <c r="W37" s="87"/>
      <c r="X37" s="87"/>
      <c r="Y37" s="87"/>
      <c r="Z37" s="88"/>
    </row>
    <row r="38" customFormat="false" ht="15.75" hidden="false" customHeight="true" outlineLevel="0" collapsed="false">
      <c r="A38" s="69"/>
      <c r="B38" s="69"/>
      <c r="C38" s="69"/>
      <c r="D38" s="27"/>
      <c r="E38" s="28"/>
      <c r="F38" s="72"/>
      <c r="G38" s="72"/>
      <c r="H38" s="72"/>
      <c r="I38" s="72"/>
      <c r="J38" s="72"/>
      <c r="K38" s="72"/>
      <c r="L38" s="72"/>
      <c r="M38" s="89"/>
      <c r="N38" s="73" t="n">
        <v>1.75</v>
      </c>
      <c r="O38" s="32" t="n">
        <f aca="false">SUM(G38:L38)</f>
        <v>0</v>
      </c>
      <c r="P38" s="85"/>
      <c r="Q38" s="90" t="n">
        <f aca="false">F38</f>
        <v>0</v>
      </c>
      <c r="R38" s="85"/>
      <c r="S38" s="85"/>
      <c r="T38" s="83" t="n">
        <f aca="false">S38+P38</f>
        <v>0</v>
      </c>
      <c r="U38" s="91"/>
      <c r="V38" s="91"/>
      <c r="W38" s="91"/>
      <c r="X38" s="91"/>
      <c r="Y38" s="91"/>
      <c r="Z38" s="88" t="n">
        <f aca="false">T38+U38-V38-W38-X38-Y38</f>
        <v>0</v>
      </c>
    </row>
    <row r="39" s="92" customFormat="true" ht="15.75" hidden="false" customHeight="true" outlineLevel="0" collapsed="false">
      <c r="D39" s="78"/>
      <c r="E39" s="93"/>
      <c r="F39" s="72"/>
      <c r="G39" s="72"/>
      <c r="H39" s="72"/>
      <c r="I39" s="72"/>
      <c r="J39" s="72"/>
      <c r="K39" s="72"/>
      <c r="L39" s="72"/>
      <c r="M39" s="42"/>
      <c r="N39" s="83"/>
      <c r="O39" s="32" t="n">
        <f aca="false">SUM(G39:L39)</f>
        <v>0</v>
      </c>
      <c r="P39" s="83"/>
      <c r="Q39" s="32"/>
      <c r="R39" s="83"/>
      <c r="S39" s="83"/>
      <c r="T39" s="83" t="n">
        <f aca="false">S39+P39</f>
        <v>0</v>
      </c>
      <c r="U39" s="43"/>
      <c r="V39" s="43"/>
      <c r="W39" s="43"/>
      <c r="X39" s="43"/>
      <c r="Y39" s="43"/>
      <c r="Z39" s="38" t="n">
        <f aca="false">T39+U39-V39-W39-X39-Y39</f>
        <v>0</v>
      </c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U39" s="94"/>
      <c r="BV39" s="94"/>
      <c r="BW39" s="94"/>
      <c r="BX39" s="94"/>
      <c r="BY39" s="94"/>
      <c r="BZ39" s="94"/>
      <c r="CA39" s="94"/>
      <c r="CB39" s="94"/>
      <c r="CC39" s="94"/>
      <c r="CD39" s="94"/>
      <c r="CE39" s="94"/>
      <c r="CF39" s="94"/>
      <c r="CG39" s="94"/>
      <c r="CH39" s="94"/>
      <c r="CI39" s="94"/>
      <c r="CJ39" s="94"/>
      <c r="CK39" s="94"/>
      <c r="CL39" s="94"/>
      <c r="CM39" s="94"/>
      <c r="CN39" s="94"/>
      <c r="CO39" s="94"/>
      <c r="CP39" s="94"/>
      <c r="CQ39" s="94"/>
      <c r="CR39" s="94"/>
      <c r="CS39" s="94"/>
      <c r="CT39" s="94"/>
      <c r="CU39" s="94"/>
      <c r="CV39" s="94"/>
      <c r="CW39" s="94"/>
      <c r="CX39" s="94"/>
      <c r="CY39" s="94"/>
      <c r="CZ39" s="94"/>
      <c r="DA39" s="94"/>
      <c r="DB39" s="94"/>
      <c r="DC39" s="94"/>
      <c r="DD39" s="94"/>
      <c r="DE39" s="94"/>
      <c r="DF39" s="94"/>
      <c r="DG39" s="94"/>
      <c r="DH39" s="94"/>
      <c r="DI39" s="94"/>
      <c r="DJ39" s="94"/>
      <c r="DK39" s="94"/>
      <c r="DL39" s="94"/>
      <c r="DM39" s="94"/>
      <c r="DN39" s="94"/>
      <c r="DO39" s="94"/>
      <c r="DP39" s="94"/>
      <c r="DQ39" s="94"/>
      <c r="DR39" s="94"/>
      <c r="DS39" s="94"/>
      <c r="DT39" s="94"/>
      <c r="DU39" s="94"/>
      <c r="DV39" s="94"/>
      <c r="DW39" s="94"/>
      <c r="DX39" s="94"/>
      <c r="DY39" s="94"/>
      <c r="DZ39" s="94"/>
      <c r="EA39" s="94"/>
      <c r="EB39" s="94"/>
      <c r="EC39" s="94"/>
      <c r="ED39" s="94"/>
      <c r="EE39" s="94"/>
      <c r="EF39" s="94"/>
      <c r="EG39" s="94"/>
      <c r="EH39" s="94"/>
      <c r="EI39" s="94"/>
      <c r="EJ39" s="94"/>
      <c r="EK39" s="94"/>
      <c r="EL39" s="94"/>
      <c r="EM39" s="94"/>
      <c r="EN39" s="94"/>
      <c r="EO39" s="94"/>
      <c r="EP39" s="94"/>
      <c r="EQ39" s="94"/>
      <c r="ER39" s="94"/>
      <c r="ES39" s="94"/>
      <c r="ET39" s="94"/>
      <c r="EU39" s="94"/>
      <c r="EV39" s="94"/>
      <c r="EW39" s="94"/>
      <c r="EX39" s="94"/>
      <c r="EY39" s="94"/>
      <c r="EZ39" s="94"/>
      <c r="FA39" s="94"/>
      <c r="FB39" s="94"/>
      <c r="FC39" s="94"/>
      <c r="FD39" s="94"/>
      <c r="FE39" s="94"/>
      <c r="FF39" s="94"/>
      <c r="FG39" s="94"/>
      <c r="FH39" s="94"/>
      <c r="FI39" s="94"/>
      <c r="FJ39" s="94"/>
      <c r="FK39" s="94"/>
      <c r="FL39" s="94"/>
      <c r="FM39" s="94"/>
      <c r="FN39" s="94"/>
      <c r="FO39" s="94"/>
      <c r="FP39" s="94"/>
      <c r="FQ39" s="94"/>
      <c r="FR39" s="94"/>
      <c r="FS39" s="94"/>
      <c r="FT39" s="94"/>
      <c r="FU39" s="94"/>
      <c r="FV39" s="94"/>
      <c r="FW39" s="94"/>
      <c r="FX39" s="94"/>
      <c r="FY39" s="94"/>
      <c r="FZ39" s="94"/>
      <c r="GA39" s="94"/>
      <c r="GB39" s="94"/>
      <c r="GC39" s="94"/>
      <c r="GD39" s="94"/>
      <c r="GE39" s="94"/>
      <c r="GF39" s="94"/>
      <c r="GG39" s="94"/>
      <c r="GH39" s="94"/>
      <c r="GI39" s="94"/>
      <c r="GJ39" s="94"/>
      <c r="GK39" s="94"/>
      <c r="GL39" s="94"/>
      <c r="GM39" s="94"/>
      <c r="GN39" s="94"/>
      <c r="GO39" s="94"/>
      <c r="GP39" s="94"/>
      <c r="GQ39" s="94"/>
      <c r="GR39" s="94"/>
      <c r="GS39" s="94"/>
      <c r="GT39" s="94"/>
      <c r="GU39" s="94"/>
      <c r="GV39" s="94"/>
      <c r="GW39" s="94"/>
      <c r="GX39" s="94"/>
      <c r="GY39" s="94"/>
      <c r="GZ39" s="94"/>
      <c r="HA39" s="94"/>
      <c r="HB39" s="94"/>
      <c r="HC39" s="94"/>
      <c r="HD39" s="94"/>
      <c r="HE39" s="94"/>
      <c r="HF39" s="94"/>
      <c r="HG39" s="94"/>
      <c r="HH39" s="94"/>
      <c r="HI39" s="94"/>
      <c r="HJ39" s="94"/>
      <c r="HK39" s="94"/>
      <c r="HL39" s="94"/>
      <c r="HM39" s="94"/>
      <c r="HN39" s="94"/>
      <c r="HO39" s="94"/>
      <c r="HP39" s="94"/>
      <c r="HQ39" s="94"/>
      <c r="HR39" s="94"/>
      <c r="HS39" s="94"/>
      <c r="HT39" s="94"/>
      <c r="HU39" s="94"/>
      <c r="HV39" s="94"/>
      <c r="HW39" s="94"/>
      <c r="HX39" s="94"/>
      <c r="HY39" s="94"/>
      <c r="HZ39" s="94"/>
      <c r="IA39" s="94"/>
      <c r="IB39" s="94"/>
      <c r="IC39" s="94"/>
      <c r="ID39" s="94"/>
      <c r="IE39" s="94"/>
      <c r="IF39" s="94"/>
      <c r="IG39" s="94"/>
      <c r="IH39" s="94"/>
      <c r="II39" s="94"/>
      <c r="IJ39" s="94"/>
      <c r="IK39" s="94"/>
      <c r="IL39" s="94"/>
      <c r="IM39" s="94"/>
      <c r="IN39" s="94"/>
      <c r="IO39" s="94"/>
      <c r="IP39" s="94"/>
      <c r="IQ39" s="94"/>
      <c r="IR39" s="94"/>
      <c r="IS39" s="94"/>
      <c r="IT39" s="94"/>
      <c r="IU39" s="94"/>
      <c r="IV39" s="94"/>
      <c r="IW39" s="94"/>
      <c r="IX39" s="94"/>
      <c r="IY39" s="94"/>
      <c r="IZ39" s="94"/>
      <c r="JA39" s="94"/>
      <c r="JB39" s="94"/>
      <c r="JC39" s="94"/>
      <c r="JD39" s="94"/>
      <c r="JE39" s="94"/>
      <c r="JF39" s="94"/>
      <c r="JG39" s="94"/>
      <c r="JH39" s="94"/>
      <c r="JI39" s="94"/>
      <c r="JJ39" s="94"/>
      <c r="JK39" s="94"/>
      <c r="JL39" s="94"/>
      <c r="JM39" s="94"/>
      <c r="JN39" s="94"/>
      <c r="JO39" s="94"/>
      <c r="JP39" s="94"/>
      <c r="JQ39" s="94"/>
      <c r="JR39" s="94"/>
      <c r="JS39" s="94"/>
      <c r="JT39" s="94"/>
      <c r="JU39" s="94"/>
      <c r="JV39" s="94"/>
      <c r="JW39" s="94"/>
      <c r="JX39" s="94"/>
      <c r="JY39" s="94"/>
      <c r="JZ39" s="94"/>
      <c r="KA39" s="94"/>
      <c r="KB39" s="94"/>
      <c r="KC39" s="94"/>
      <c r="KD39" s="94"/>
      <c r="KE39" s="94"/>
      <c r="KF39" s="94"/>
      <c r="KG39" s="94"/>
      <c r="KH39" s="94"/>
      <c r="KI39" s="94"/>
      <c r="KJ39" s="94"/>
      <c r="KK39" s="94"/>
      <c r="KL39" s="94"/>
      <c r="KM39" s="94"/>
      <c r="KN39" s="94"/>
      <c r="KO39" s="94"/>
      <c r="KP39" s="94"/>
      <c r="KQ39" s="94"/>
      <c r="KR39" s="94"/>
      <c r="KS39" s="94"/>
      <c r="KT39" s="94"/>
      <c r="KU39" s="94"/>
      <c r="KV39" s="94"/>
      <c r="KW39" s="94"/>
      <c r="KX39" s="94"/>
      <c r="KY39" s="94"/>
      <c r="KZ39" s="94"/>
      <c r="LA39" s="94"/>
      <c r="LB39" s="94"/>
      <c r="LC39" s="94"/>
      <c r="LD39" s="94"/>
      <c r="LE39" s="94"/>
      <c r="LF39" s="94"/>
      <c r="LG39" s="94"/>
      <c r="LH39" s="94"/>
      <c r="LI39" s="94"/>
      <c r="LJ39" s="94"/>
      <c r="LK39" s="94"/>
      <c r="LL39" s="94"/>
      <c r="LM39" s="94"/>
      <c r="LN39" s="94"/>
      <c r="LO39" s="94"/>
      <c r="LP39" s="94"/>
      <c r="LQ39" s="94"/>
      <c r="LR39" s="94"/>
      <c r="LS39" s="94"/>
      <c r="LT39" s="94"/>
      <c r="LU39" s="94"/>
      <c r="LV39" s="94"/>
      <c r="LW39" s="94"/>
      <c r="LX39" s="94"/>
      <c r="LY39" s="94"/>
      <c r="LZ39" s="94"/>
      <c r="MA39" s="94"/>
      <c r="MB39" s="94"/>
      <c r="MC39" s="94"/>
      <c r="MD39" s="94"/>
      <c r="ME39" s="94"/>
      <c r="MF39" s="94"/>
      <c r="MG39" s="94"/>
      <c r="MH39" s="94"/>
      <c r="MI39" s="94"/>
      <c r="MJ39" s="94"/>
      <c r="MK39" s="94"/>
      <c r="ML39" s="94"/>
      <c r="MM39" s="94"/>
      <c r="MN39" s="94"/>
      <c r="MO39" s="94"/>
      <c r="MP39" s="94"/>
      <c r="MQ39" s="94"/>
      <c r="MR39" s="94"/>
      <c r="MS39" s="94"/>
      <c r="MT39" s="94"/>
      <c r="MU39" s="94"/>
      <c r="MV39" s="94"/>
      <c r="MW39" s="94"/>
      <c r="MX39" s="94"/>
      <c r="MY39" s="94"/>
      <c r="MZ39" s="94"/>
      <c r="NA39" s="94"/>
      <c r="NB39" s="94"/>
      <c r="NC39" s="94"/>
      <c r="ND39" s="94"/>
      <c r="NE39" s="94"/>
      <c r="NF39" s="94"/>
      <c r="NG39" s="94"/>
      <c r="NH39" s="94"/>
      <c r="NI39" s="94"/>
      <c r="NJ39" s="94"/>
      <c r="NK39" s="94"/>
      <c r="NL39" s="94"/>
      <c r="NM39" s="94"/>
      <c r="NN39" s="94"/>
      <c r="NO39" s="94"/>
      <c r="NP39" s="94"/>
      <c r="NQ39" s="94"/>
      <c r="NR39" s="94"/>
      <c r="NS39" s="94"/>
      <c r="NT39" s="94"/>
      <c r="NU39" s="94"/>
      <c r="NV39" s="94"/>
      <c r="NW39" s="94"/>
      <c r="NX39" s="94"/>
      <c r="NY39" s="94"/>
      <c r="NZ39" s="94"/>
      <c r="OA39" s="94"/>
      <c r="OB39" s="94"/>
      <c r="OC39" s="94"/>
      <c r="OD39" s="94"/>
      <c r="OE39" s="94"/>
      <c r="OF39" s="94"/>
      <c r="OG39" s="94"/>
      <c r="OH39" s="94"/>
      <c r="OI39" s="94"/>
      <c r="OJ39" s="94"/>
      <c r="OK39" s="94"/>
      <c r="OL39" s="94"/>
      <c r="OM39" s="94"/>
      <c r="ON39" s="94"/>
      <c r="OO39" s="94"/>
      <c r="OP39" s="94"/>
      <c r="OQ39" s="94"/>
      <c r="OR39" s="94"/>
      <c r="OS39" s="94"/>
      <c r="OT39" s="94"/>
      <c r="OU39" s="94"/>
      <c r="OV39" s="94"/>
      <c r="OW39" s="94"/>
      <c r="OX39" s="94"/>
      <c r="OY39" s="94"/>
      <c r="OZ39" s="94"/>
      <c r="PA39" s="94"/>
      <c r="PB39" s="94"/>
      <c r="PC39" s="94"/>
      <c r="PD39" s="94"/>
      <c r="PE39" s="94"/>
      <c r="PF39" s="94"/>
      <c r="PG39" s="94"/>
      <c r="PH39" s="94"/>
      <c r="PI39" s="94"/>
      <c r="PJ39" s="94"/>
      <c r="PK39" s="94"/>
      <c r="PL39" s="94"/>
      <c r="PM39" s="94"/>
      <c r="PN39" s="94"/>
      <c r="PO39" s="94"/>
      <c r="PP39" s="94"/>
      <c r="PQ39" s="94"/>
      <c r="PR39" s="94"/>
      <c r="PS39" s="94"/>
      <c r="PT39" s="94"/>
      <c r="PU39" s="94"/>
      <c r="PV39" s="94"/>
      <c r="PW39" s="94"/>
      <c r="PX39" s="94"/>
      <c r="PY39" s="94"/>
      <c r="PZ39" s="94"/>
      <c r="QA39" s="94"/>
      <c r="QB39" s="94"/>
      <c r="QC39" s="94"/>
      <c r="QD39" s="94"/>
      <c r="QE39" s="94"/>
      <c r="QF39" s="94"/>
      <c r="QG39" s="94"/>
      <c r="QH39" s="94"/>
      <c r="QI39" s="94"/>
      <c r="QJ39" s="94"/>
      <c r="QK39" s="94"/>
      <c r="QL39" s="94"/>
      <c r="QM39" s="94"/>
      <c r="QN39" s="94"/>
      <c r="QO39" s="94"/>
      <c r="QP39" s="94"/>
      <c r="QQ39" s="94"/>
      <c r="QR39" s="94"/>
      <c r="QS39" s="94"/>
      <c r="QT39" s="94"/>
      <c r="QU39" s="94"/>
      <c r="QV39" s="94"/>
      <c r="QW39" s="94"/>
      <c r="QX39" s="94"/>
      <c r="QY39" s="94"/>
      <c r="QZ39" s="94"/>
      <c r="RA39" s="94"/>
      <c r="RB39" s="94"/>
      <c r="RC39" s="94"/>
      <c r="RD39" s="94"/>
      <c r="RE39" s="94"/>
      <c r="RF39" s="94"/>
      <c r="RG39" s="94"/>
      <c r="RH39" s="94"/>
      <c r="RI39" s="94"/>
      <c r="RJ39" s="94"/>
      <c r="RK39" s="94"/>
      <c r="RL39" s="94"/>
      <c r="RM39" s="94"/>
      <c r="RN39" s="94"/>
      <c r="RO39" s="94"/>
      <c r="RP39" s="94"/>
      <c r="RQ39" s="94"/>
      <c r="RR39" s="94"/>
      <c r="RS39" s="94"/>
      <c r="RT39" s="94"/>
      <c r="RU39" s="94"/>
      <c r="RV39" s="94"/>
      <c r="RW39" s="94"/>
      <c r="RX39" s="94"/>
      <c r="RY39" s="94"/>
      <c r="RZ39" s="94"/>
      <c r="SA39" s="94"/>
      <c r="SB39" s="94"/>
      <c r="SC39" s="94"/>
      <c r="SD39" s="94"/>
      <c r="SE39" s="94"/>
      <c r="SF39" s="94"/>
      <c r="SG39" s="94"/>
      <c r="SH39" s="94"/>
      <c r="SI39" s="94"/>
      <c r="SJ39" s="94"/>
      <c r="SK39" s="94"/>
      <c r="SL39" s="94"/>
      <c r="SM39" s="94"/>
      <c r="SN39" s="94"/>
      <c r="SO39" s="94"/>
      <c r="SP39" s="94"/>
      <c r="SQ39" s="94"/>
      <c r="SR39" s="94"/>
      <c r="SS39" s="94"/>
      <c r="ST39" s="94"/>
      <c r="SU39" s="94"/>
      <c r="SV39" s="94"/>
      <c r="SW39" s="94"/>
      <c r="SX39" s="94"/>
      <c r="SY39" s="94"/>
      <c r="SZ39" s="94"/>
      <c r="TA39" s="94"/>
      <c r="TB39" s="94"/>
      <c r="TC39" s="94"/>
      <c r="TD39" s="94"/>
      <c r="TE39" s="94"/>
      <c r="TF39" s="94"/>
      <c r="TG39" s="94"/>
      <c r="TH39" s="94"/>
      <c r="TI39" s="94"/>
      <c r="TJ39" s="94"/>
      <c r="TK39" s="94"/>
      <c r="TL39" s="94"/>
      <c r="TM39" s="94"/>
      <c r="TN39" s="94"/>
      <c r="TO39" s="94"/>
      <c r="TP39" s="94"/>
      <c r="TQ39" s="94"/>
      <c r="TR39" s="94"/>
      <c r="TS39" s="94"/>
      <c r="TT39" s="94"/>
      <c r="TU39" s="94"/>
      <c r="TV39" s="94"/>
      <c r="TW39" s="94"/>
      <c r="TX39" s="94"/>
      <c r="TY39" s="94"/>
      <c r="TZ39" s="94"/>
      <c r="UA39" s="94"/>
      <c r="UB39" s="94"/>
      <c r="UC39" s="94"/>
      <c r="UD39" s="94"/>
      <c r="UE39" s="94"/>
      <c r="UF39" s="94"/>
      <c r="UG39" s="94"/>
      <c r="UH39" s="94"/>
      <c r="UI39" s="94"/>
      <c r="UJ39" s="94"/>
      <c r="UK39" s="94"/>
      <c r="UL39" s="94"/>
      <c r="UM39" s="94"/>
      <c r="UN39" s="94"/>
      <c r="UO39" s="94"/>
      <c r="UP39" s="94"/>
      <c r="UQ39" s="94"/>
      <c r="UR39" s="94"/>
      <c r="US39" s="94"/>
      <c r="UT39" s="94"/>
      <c r="UU39" s="94"/>
      <c r="UV39" s="94"/>
      <c r="UW39" s="94"/>
      <c r="UX39" s="94"/>
      <c r="UY39" s="94"/>
      <c r="UZ39" s="94"/>
      <c r="VA39" s="94"/>
      <c r="VB39" s="94"/>
      <c r="VC39" s="94"/>
      <c r="VD39" s="94"/>
      <c r="VE39" s="94"/>
      <c r="VF39" s="94"/>
      <c r="VG39" s="94"/>
      <c r="VH39" s="94"/>
      <c r="VI39" s="94"/>
      <c r="VJ39" s="94"/>
      <c r="VK39" s="94"/>
      <c r="VL39" s="94"/>
      <c r="VM39" s="94"/>
      <c r="VN39" s="94"/>
      <c r="VO39" s="94"/>
      <c r="VP39" s="94"/>
      <c r="VQ39" s="94"/>
      <c r="VR39" s="94"/>
      <c r="VS39" s="94"/>
      <c r="VT39" s="94"/>
      <c r="VU39" s="94"/>
      <c r="VV39" s="94"/>
      <c r="VW39" s="94"/>
      <c r="VX39" s="94"/>
      <c r="VY39" s="94"/>
      <c r="VZ39" s="94"/>
      <c r="WA39" s="94"/>
      <c r="WB39" s="94"/>
      <c r="WC39" s="94"/>
      <c r="WD39" s="94"/>
      <c r="WE39" s="94"/>
      <c r="WF39" s="94"/>
      <c r="WG39" s="94"/>
      <c r="WH39" s="94"/>
      <c r="WI39" s="94"/>
      <c r="WJ39" s="94"/>
      <c r="WK39" s="94"/>
      <c r="WL39" s="94"/>
      <c r="WM39" s="94"/>
      <c r="WN39" s="94"/>
      <c r="WO39" s="94"/>
      <c r="WP39" s="94"/>
      <c r="WQ39" s="94"/>
      <c r="WR39" s="94"/>
      <c r="WS39" s="94"/>
      <c r="WT39" s="94"/>
      <c r="WU39" s="94"/>
      <c r="WV39" s="94"/>
      <c r="WW39" s="94"/>
      <c r="WX39" s="94"/>
      <c r="WY39" s="94"/>
      <c r="WZ39" s="94"/>
      <c r="XA39" s="94"/>
      <c r="XB39" s="94"/>
      <c r="XC39" s="94"/>
      <c r="XD39" s="94"/>
      <c r="XE39" s="94"/>
      <c r="XF39" s="94"/>
      <c r="XG39" s="94"/>
      <c r="XH39" s="94"/>
      <c r="XI39" s="94"/>
      <c r="XJ39" s="94"/>
      <c r="XK39" s="94"/>
      <c r="XL39" s="94"/>
      <c r="XM39" s="94"/>
      <c r="XN39" s="94"/>
      <c r="XO39" s="94"/>
      <c r="XP39" s="94"/>
      <c r="XQ39" s="94"/>
      <c r="XR39" s="94"/>
      <c r="XS39" s="94"/>
      <c r="XT39" s="94"/>
      <c r="XU39" s="94"/>
      <c r="XV39" s="94"/>
      <c r="XW39" s="94"/>
      <c r="XX39" s="94"/>
      <c r="XY39" s="94"/>
      <c r="XZ39" s="94"/>
      <c r="YA39" s="94"/>
      <c r="YB39" s="94"/>
      <c r="YC39" s="94"/>
      <c r="YD39" s="94"/>
      <c r="YE39" s="94"/>
      <c r="YF39" s="94"/>
      <c r="YG39" s="94"/>
      <c r="YH39" s="94"/>
      <c r="YI39" s="94"/>
      <c r="YJ39" s="94"/>
      <c r="YK39" s="94"/>
      <c r="YL39" s="94"/>
      <c r="YM39" s="94"/>
      <c r="YN39" s="94"/>
      <c r="YO39" s="94"/>
      <c r="YP39" s="94"/>
      <c r="YQ39" s="94"/>
      <c r="YR39" s="94"/>
      <c r="YS39" s="94"/>
      <c r="YT39" s="94"/>
      <c r="YU39" s="94"/>
      <c r="YV39" s="94"/>
      <c r="YW39" s="94"/>
      <c r="YX39" s="94"/>
      <c r="YY39" s="94"/>
      <c r="YZ39" s="94"/>
      <c r="ZA39" s="94"/>
      <c r="ZB39" s="94"/>
      <c r="ZC39" s="94"/>
      <c r="ZD39" s="94"/>
      <c r="ZE39" s="94"/>
      <c r="ZF39" s="94"/>
      <c r="ZG39" s="94"/>
      <c r="ZH39" s="94"/>
      <c r="ZI39" s="94"/>
      <c r="ZJ39" s="94"/>
      <c r="ZK39" s="94"/>
      <c r="ZL39" s="94"/>
      <c r="ZM39" s="94"/>
      <c r="ZN39" s="94"/>
      <c r="ZO39" s="94"/>
      <c r="ZP39" s="94"/>
      <c r="ZQ39" s="94"/>
      <c r="ZR39" s="94"/>
      <c r="ZS39" s="94"/>
      <c r="ZT39" s="94"/>
      <c r="ZU39" s="94"/>
      <c r="ZV39" s="94"/>
      <c r="ZW39" s="94"/>
      <c r="ZX39" s="94"/>
      <c r="ZY39" s="94"/>
      <c r="ZZ39" s="94"/>
      <c r="AAA39" s="94"/>
      <c r="AAB39" s="94"/>
      <c r="AAC39" s="94"/>
      <c r="AAD39" s="94"/>
      <c r="AAE39" s="94"/>
      <c r="AAF39" s="94"/>
      <c r="AAG39" s="94"/>
      <c r="AAH39" s="94"/>
      <c r="AAI39" s="94"/>
      <c r="AAJ39" s="94"/>
      <c r="AAK39" s="94"/>
      <c r="AAL39" s="94"/>
      <c r="AAM39" s="94"/>
      <c r="AAN39" s="94"/>
      <c r="AAO39" s="94"/>
      <c r="AAP39" s="94"/>
      <c r="AAQ39" s="94"/>
      <c r="AAR39" s="94"/>
      <c r="AAS39" s="94"/>
      <c r="AAT39" s="94"/>
      <c r="AAU39" s="94"/>
      <c r="AAV39" s="94"/>
      <c r="AAW39" s="94"/>
      <c r="AAX39" s="94"/>
      <c r="AAY39" s="94"/>
      <c r="AAZ39" s="94"/>
      <c r="ABA39" s="94"/>
      <c r="ABB39" s="94"/>
      <c r="ABC39" s="94"/>
      <c r="ABD39" s="94"/>
      <c r="ABE39" s="94"/>
      <c r="ABF39" s="94"/>
      <c r="ABG39" s="94"/>
      <c r="ABH39" s="94"/>
      <c r="ABI39" s="94"/>
      <c r="ABJ39" s="94"/>
      <c r="ABK39" s="94"/>
      <c r="ABL39" s="94"/>
      <c r="ABM39" s="94"/>
      <c r="ABN39" s="94"/>
      <c r="ABO39" s="94"/>
      <c r="ABP39" s="94"/>
      <c r="ABQ39" s="94"/>
      <c r="ABR39" s="94"/>
      <c r="ABS39" s="94"/>
      <c r="ABT39" s="94"/>
      <c r="ABU39" s="94"/>
      <c r="ABV39" s="94"/>
      <c r="ABW39" s="94"/>
      <c r="ABX39" s="94"/>
      <c r="ABY39" s="94"/>
      <c r="ABZ39" s="94"/>
      <c r="ACA39" s="94"/>
      <c r="ACB39" s="94"/>
      <c r="ACC39" s="94"/>
      <c r="ACD39" s="94"/>
      <c r="ACE39" s="94"/>
      <c r="ACF39" s="94"/>
      <c r="ACG39" s="94"/>
      <c r="ACH39" s="94"/>
      <c r="ACI39" s="94"/>
      <c r="ACJ39" s="94"/>
      <c r="ACK39" s="94"/>
      <c r="ACL39" s="94"/>
      <c r="ACM39" s="94"/>
      <c r="ACN39" s="94"/>
      <c r="ACO39" s="94"/>
      <c r="ACP39" s="94"/>
      <c r="ACQ39" s="94"/>
      <c r="ACR39" s="94"/>
      <c r="ACS39" s="94"/>
      <c r="ACT39" s="94"/>
      <c r="ACU39" s="94"/>
      <c r="ACV39" s="94"/>
      <c r="ACW39" s="94"/>
      <c r="ACX39" s="94"/>
      <c r="ACY39" s="94"/>
      <c r="ACZ39" s="94"/>
      <c r="ADA39" s="94"/>
      <c r="ADB39" s="94"/>
      <c r="ADC39" s="94"/>
      <c r="ADD39" s="94"/>
      <c r="ADE39" s="94"/>
      <c r="ADF39" s="94"/>
      <c r="ADG39" s="94"/>
      <c r="ADH39" s="94"/>
      <c r="ADI39" s="94"/>
      <c r="ADJ39" s="94"/>
      <c r="ADK39" s="94"/>
      <c r="ADL39" s="94"/>
      <c r="ADM39" s="94"/>
      <c r="ADN39" s="94"/>
      <c r="ADO39" s="94"/>
      <c r="ADP39" s="94"/>
      <c r="ADQ39" s="94"/>
      <c r="ADR39" s="94"/>
      <c r="ADS39" s="94"/>
      <c r="ADT39" s="94"/>
      <c r="ADU39" s="94"/>
      <c r="ADV39" s="94"/>
      <c r="ADW39" s="94"/>
      <c r="ADX39" s="94"/>
      <c r="ADY39" s="94"/>
      <c r="ADZ39" s="94"/>
      <c r="AEA39" s="94"/>
      <c r="AEB39" s="94"/>
      <c r="AEC39" s="94"/>
      <c r="AED39" s="94"/>
      <c r="AEE39" s="94"/>
      <c r="AEF39" s="94"/>
      <c r="AEG39" s="94"/>
      <c r="AEH39" s="94"/>
      <c r="AEI39" s="94"/>
      <c r="AEJ39" s="94"/>
      <c r="AEK39" s="94"/>
      <c r="AEL39" s="94"/>
      <c r="AEM39" s="94"/>
      <c r="AEN39" s="94"/>
      <c r="AEO39" s="94"/>
      <c r="AEP39" s="94"/>
      <c r="AEQ39" s="94"/>
      <c r="AER39" s="94"/>
      <c r="AES39" s="94"/>
      <c r="AET39" s="94"/>
      <c r="AEU39" s="94"/>
      <c r="AEV39" s="94"/>
      <c r="AEW39" s="94"/>
      <c r="AEX39" s="94"/>
      <c r="AEY39" s="94"/>
      <c r="AEZ39" s="94"/>
      <c r="AFA39" s="94"/>
      <c r="AFB39" s="94"/>
      <c r="AFC39" s="94"/>
      <c r="AFD39" s="94"/>
      <c r="AFE39" s="94"/>
      <c r="AFF39" s="94"/>
      <c r="AFG39" s="94"/>
      <c r="AFH39" s="94"/>
      <c r="AFI39" s="94"/>
      <c r="AFJ39" s="94"/>
      <c r="AFK39" s="94"/>
      <c r="AFL39" s="94"/>
      <c r="AFM39" s="94"/>
      <c r="AFN39" s="94"/>
      <c r="AFO39" s="94"/>
      <c r="AFP39" s="94"/>
      <c r="AFQ39" s="94"/>
      <c r="AFR39" s="94"/>
      <c r="AFS39" s="94"/>
      <c r="AFT39" s="94"/>
      <c r="AFU39" s="94"/>
      <c r="AFV39" s="94"/>
      <c r="AFW39" s="94"/>
      <c r="AFX39" s="94"/>
      <c r="AFY39" s="94"/>
      <c r="AFZ39" s="94"/>
      <c r="AGA39" s="94"/>
      <c r="AGB39" s="94"/>
      <c r="AGC39" s="94"/>
      <c r="AGD39" s="94"/>
      <c r="AGE39" s="94"/>
      <c r="AGF39" s="94"/>
      <c r="AGG39" s="94"/>
      <c r="AGH39" s="94"/>
      <c r="AGI39" s="94"/>
      <c r="AGJ39" s="94"/>
      <c r="AGK39" s="94"/>
      <c r="AGL39" s="94"/>
      <c r="AGM39" s="94"/>
      <c r="AGN39" s="94"/>
      <c r="AGO39" s="94"/>
      <c r="AGP39" s="94"/>
      <c r="AGQ39" s="94"/>
      <c r="AGR39" s="94"/>
      <c r="AGS39" s="94"/>
      <c r="AGT39" s="94"/>
      <c r="AGU39" s="94"/>
      <c r="AGV39" s="94"/>
      <c r="AGW39" s="94"/>
      <c r="AGX39" s="94"/>
      <c r="AGY39" s="94"/>
      <c r="AGZ39" s="94"/>
      <c r="AHA39" s="94"/>
      <c r="AHB39" s="94"/>
      <c r="AHC39" s="94"/>
      <c r="AHD39" s="94"/>
      <c r="AHE39" s="94"/>
      <c r="AHF39" s="94"/>
      <c r="AHG39" s="94"/>
      <c r="AHH39" s="94"/>
      <c r="AHI39" s="94"/>
      <c r="AHJ39" s="94"/>
      <c r="AHK39" s="94"/>
      <c r="AHL39" s="94"/>
      <c r="AHM39" s="94"/>
      <c r="AHN39" s="94"/>
      <c r="AHO39" s="94"/>
      <c r="AHP39" s="94"/>
      <c r="AHQ39" s="94"/>
      <c r="AHR39" s="94"/>
      <c r="AHS39" s="94"/>
      <c r="AHT39" s="94"/>
      <c r="AHU39" s="94"/>
      <c r="AHV39" s="94"/>
      <c r="AHW39" s="94"/>
      <c r="AHX39" s="94"/>
      <c r="AHY39" s="94"/>
      <c r="AHZ39" s="94"/>
      <c r="AIA39" s="94"/>
      <c r="AIB39" s="94"/>
      <c r="AIC39" s="94"/>
      <c r="AID39" s="94"/>
      <c r="AIE39" s="94"/>
      <c r="AIF39" s="94"/>
      <c r="AIG39" s="94"/>
      <c r="AIH39" s="94"/>
      <c r="AII39" s="94"/>
      <c r="AIJ39" s="94"/>
      <c r="AIK39" s="94"/>
      <c r="AIL39" s="94"/>
      <c r="AIM39" s="94"/>
      <c r="AIN39" s="94"/>
      <c r="AIO39" s="94"/>
      <c r="AIP39" s="94"/>
      <c r="AIQ39" s="94"/>
      <c r="AIR39" s="94"/>
      <c r="AIS39" s="94"/>
      <c r="AIT39" s="94"/>
      <c r="AIU39" s="94"/>
      <c r="AIV39" s="94"/>
      <c r="AIW39" s="94"/>
      <c r="AIX39" s="94"/>
      <c r="AIY39" s="94"/>
      <c r="AIZ39" s="94"/>
      <c r="AJA39" s="94"/>
      <c r="AJB39" s="94"/>
      <c r="AJC39" s="94"/>
      <c r="AJD39" s="94"/>
      <c r="AJE39" s="94"/>
      <c r="AJF39" s="94"/>
      <c r="AJG39" s="94"/>
      <c r="AJH39" s="94"/>
      <c r="AJI39" s="94"/>
      <c r="AJJ39" s="94"/>
      <c r="AJK39" s="94"/>
      <c r="AJL39" s="94"/>
      <c r="AJM39" s="94"/>
      <c r="AJN39" s="94"/>
      <c r="AJO39" s="94"/>
      <c r="AJP39" s="94"/>
      <c r="AJQ39" s="94"/>
      <c r="AJR39" s="94"/>
      <c r="AJS39" s="94"/>
      <c r="AJT39" s="94"/>
      <c r="AJU39" s="94"/>
      <c r="AJV39" s="94"/>
      <c r="AJW39" s="94"/>
      <c r="AJX39" s="94"/>
      <c r="AJY39" s="94"/>
      <c r="AJZ39" s="94"/>
      <c r="AKA39" s="94"/>
      <c r="AKB39" s="94"/>
      <c r="AKC39" s="94"/>
      <c r="AKD39" s="94"/>
      <c r="AKE39" s="94"/>
      <c r="AKF39" s="94"/>
      <c r="AKG39" s="94"/>
      <c r="AKH39" s="94"/>
      <c r="AKI39" s="94"/>
      <c r="AKJ39" s="94"/>
      <c r="AKK39" s="94"/>
      <c r="AKL39" s="94"/>
      <c r="AKM39" s="94"/>
      <c r="AKN39" s="94"/>
      <c r="AKO39" s="94"/>
      <c r="AKP39" s="94"/>
      <c r="AKQ39" s="94"/>
      <c r="AKR39" s="94"/>
      <c r="AKS39" s="94"/>
      <c r="AKT39" s="94"/>
      <c r="AKU39" s="94"/>
      <c r="AKV39" s="94"/>
      <c r="AKW39" s="94"/>
      <c r="AKX39" s="94"/>
      <c r="AKY39" s="94"/>
      <c r="AKZ39" s="94"/>
      <c r="ALA39" s="94"/>
      <c r="ALB39" s="94"/>
      <c r="ALC39" s="94"/>
      <c r="ALD39" s="94"/>
      <c r="ALE39" s="94"/>
      <c r="ALF39" s="94"/>
      <c r="ALG39" s="94"/>
      <c r="ALH39" s="94"/>
      <c r="ALI39" s="94"/>
      <c r="ALJ39" s="94"/>
      <c r="ALK39" s="94"/>
      <c r="ALL39" s="94"/>
      <c r="ALM39" s="94"/>
      <c r="ALN39" s="94"/>
      <c r="ALO39" s="94"/>
      <c r="ALP39" s="94"/>
      <c r="ALQ39" s="94"/>
      <c r="ALR39" s="94"/>
      <c r="ALS39" s="94"/>
      <c r="ALT39" s="94"/>
      <c r="ALU39" s="94"/>
      <c r="ALV39" s="94"/>
      <c r="ALW39" s="94"/>
      <c r="ALX39" s="94"/>
      <c r="ALY39" s="94"/>
      <c r="ALZ39" s="94"/>
      <c r="AMA39" s="94"/>
      <c r="AMB39" s="94"/>
      <c r="AMC39" s="94"/>
      <c r="AMD39" s="94"/>
      <c r="AME39" s="94"/>
      <c r="AMF39" s="94"/>
      <c r="AMG39" s="94"/>
      <c r="AMH39" s="94"/>
      <c r="AMI39" s="94"/>
      <c r="AMJ39" s="94"/>
      <c r="AMK39" s="94"/>
      <c r="AML39" s="94"/>
      <c r="AMM39" s="94"/>
      <c r="AMN39" s="94"/>
      <c r="AMO39" s="94"/>
      <c r="AMP39" s="94"/>
      <c r="AMQ39" s="94"/>
      <c r="AMR39" s="94"/>
      <c r="AMS39" s="94"/>
      <c r="AMT39" s="94"/>
      <c r="AMU39" s="94"/>
      <c r="AMV39" s="94"/>
      <c r="AMW39" s="94"/>
      <c r="AMX39" s="94"/>
      <c r="AMY39" s="94"/>
      <c r="AMZ39" s="94"/>
      <c r="ANA39" s="94"/>
      <c r="ANB39" s="94"/>
      <c r="ANC39" s="94"/>
      <c r="AND39" s="94"/>
      <c r="ANE39" s="94"/>
      <c r="ANF39" s="94"/>
      <c r="ANG39" s="94"/>
      <c r="ANH39" s="94"/>
      <c r="ANI39" s="94"/>
      <c r="ANJ39" s="94"/>
      <c r="ANK39" s="94"/>
      <c r="ANL39" s="94"/>
      <c r="ANM39" s="94"/>
      <c r="ANN39" s="94"/>
      <c r="ANO39" s="94"/>
      <c r="ANP39" s="94"/>
      <c r="ANQ39" s="94"/>
      <c r="ANR39" s="94"/>
      <c r="ANS39" s="94"/>
      <c r="ANT39" s="94"/>
      <c r="ANU39" s="94"/>
      <c r="ANV39" s="94"/>
      <c r="ANW39" s="94"/>
      <c r="ANX39" s="94"/>
      <c r="ANY39" s="94"/>
      <c r="ANZ39" s="94"/>
      <c r="AOA39" s="94"/>
      <c r="AOB39" s="94"/>
      <c r="AOC39" s="94"/>
      <c r="AOD39" s="94"/>
      <c r="AOE39" s="94"/>
      <c r="AOF39" s="94"/>
      <c r="AOG39" s="94"/>
      <c r="AOH39" s="94"/>
      <c r="AOI39" s="94"/>
      <c r="AOJ39" s="94"/>
      <c r="AOK39" s="94"/>
      <c r="AOL39" s="94"/>
      <c r="AOM39" s="94"/>
      <c r="AON39" s="94"/>
      <c r="AOO39" s="94"/>
      <c r="AOP39" s="94"/>
      <c r="AOQ39" s="94"/>
      <c r="AOR39" s="94"/>
      <c r="AOS39" s="94"/>
      <c r="AOT39" s="94"/>
      <c r="AOU39" s="94"/>
      <c r="AOV39" s="94"/>
      <c r="AOW39" s="94"/>
      <c r="AOX39" s="94"/>
      <c r="AOY39" s="94"/>
      <c r="AOZ39" s="94"/>
      <c r="APA39" s="94"/>
      <c r="APB39" s="94"/>
      <c r="APC39" s="94"/>
      <c r="APD39" s="94"/>
      <c r="APE39" s="94"/>
      <c r="APF39" s="94"/>
      <c r="APG39" s="94"/>
      <c r="APH39" s="94"/>
      <c r="API39" s="94"/>
      <c r="APJ39" s="94"/>
      <c r="APK39" s="94"/>
      <c r="APL39" s="94"/>
      <c r="APM39" s="94"/>
      <c r="APN39" s="94"/>
      <c r="APO39" s="94"/>
      <c r="APP39" s="94"/>
      <c r="APQ39" s="94"/>
      <c r="APR39" s="94"/>
      <c r="APS39" s="94"/>
      <c r="APT39" s="94"/>
      <c r="APU39" s="94"/>
      <c r="APV39" s="94"/>
      <c r="APW39" s="94"/>
      <c r="APX39" s="94"/>
      <c r="APY39" s="94"/>
      <c r="APZ39" s="94"/>
      <c r="AQA39" s="94"/>
      <c r="AQB39" s="94"/>
      <c r="AQC39" s="94"/>
      <c r="AQD39" s="94"/>
      <c r="AQE39" s="94"/>
      <c r="AQF39" s="94"/>
      <c r="AQG39" s="94"/>
      <c r="AQH39" s="94"/>
      <c r="AQI39" s="94"/>
      <c r="AQJ39" s="94"/>
      <c r="AQK39" s="94"/>
      <c r="AQL39" s="94"/>
      <c r="AQM39" s="94"/>
      <c r="AQN39" s="94"/>
      <c r="AQO39" s="94"/>
      <c r="AQP39" s="94"/>
      <c r="AQQ39" s="94"/>
      <c r="AQR39" s="94"/>
      <c r="AQS39" s="94"/>
      <c r="AQT39" s="94"/>
      <c r="AQU39" s="94"/>
      <c r="AQV39" s="94"/>
      <c r="AQW39" s="94"/>
      <c r="AQX39" s="94"/>
      <c r="AQY39" s="94"/>
      <c r="AQZ39" s="94"/>
      <c r="ARA39" s="94"/>
      <c r="ARB39" s="94"/>
      <c r="ARC39" s="94"/>
      <c r="ARD39" s="94"/>
      <c r="ARE39" s="94"/>
      <c r="ARF39" s="94"/>
      <c r="ARG39" s="94"/>
      <c r="ARH39" s="94"/>
      <c r="ARI39" s="94"/>
      <c r="ARJ39" s="94"/>
      <c r="ARK39" s="94"/>
      <c r="ARL39" s="94"/>
      <c r="ARM39" s="94"/>
      <c r="ARN39" s="94"/>
      <c r="ARO39" s="94"/>
      <c r="ARP39" s="94"/>
      <c r="ARQ39" s="94"/>
      <c r="ARR39" s="94"/>
      <c r="ARS39" s="94"/>
      <c r="ART39" s="94"/>
      <c r="ARU39" s="94"/>
      <c r="ARV39" s="94"/>
      <c r="ARW39" s="94"/>
      <c r="ARX39" s="94"/>
      <c r="ARY39" s="94"/>
      <c r="ARZ39" s="94"/>
      <c r="ASA39" s="94"/>
      <c r="ASB39" s="94"/>
      <c r="ASC39" s="94"/>
      <c r="ASD39" s="94"/>
      <c r="ASE39" s="94"/>
      <c r="ASF39" s="94"/>
      <c r="ASG39" s="94"/>
      <c r="ASH39" s="94"/>
      <c r="ASI39" s="94"/>
      <c r="ASJ39" s="94"/>
      <c r="ASK39" s="94"/>
      <c r="ASL39" s="94"/>
      <c r="ASM39" s="94"/>
      <c r="ASN39" s="94"/>
      <c r="ASO39" s="94"/>
      <c r="ASP39" s="94"/>
      <c r="ASQ39" s="94"/>
      <c r="ASR39" s="94"/>
      <c r="ASS39" s="94"/>
      <c r="AST39" s="94"/>
      <c r="ASU39" s="94"/>
      <c r="ASV39" s="94"/>
      <c r="ASW39" s="94"/>
      <c r="ASX39" s="94"/>
      <c r="ASY39" s="94"/>
      <c r="ASZ39" s="94"/>
      <c r="ATA39" s="94"/>
      <c r="ATB39" s="94"/>
      <c r="ATC39" s="94"/>
      <c r="ATD39" s="94"/>
      <c r="ATE39" s="94"/>
      <c r="ATF39" s="94"/>
      <c r="ATG39" s="94"/>
      <c r="ATH39" s="94"/>
      <c r="ATI39" s="94"/>
      <c r="ATJ39" s="94"/>
      <c r="ATK39" s="94"/>
      <c r="ATL39" s="94"/>
      <c r="ATM39" s="94"/>
      <c r="ATN39" s="94"/>
      <c r="ATO39" s="94"/>
      <c r="ATP39" s="94"/>
      <c r="ATQ39" s="94"/>
      <c r="ATR39" s="94"/>
      <c r="ATS39" s="94"/>
      <c r="ATT39" s="94"/>
      <c r="ATU39" s="94"/>
      <c r="ATV39" s="94"/>
      <c r="ATW39" s="94"/>
      <c r="ATX39" s="94"/>
      <c r="ATY39" s="94"/>
      <c r="ATZ39" s="94"/>
      <c r="AUA39" s="94"/>
      <c r="AUB39" s="94"/>
      <c r="AUC39" s="94"/>
      <c r="AUD39" s="94"/>
      <c r="AUE39" s="94"/>
      <c r="AUF39" s="94"/>
      <c r="AUG39" s="94"/>
      <c r="AUH39" s="94"/>
      <c r="AUI39" s="94"/>
      <c r="AUJ39" s="94"/>
      <c r="AUK39" s="94"/>
      <c r="AUL39" s="94"/>
      <c r="AUM39" s="94"/>
      <c r="AUN39" s="94"/>
      <c r="AUO39" s="94"/>
      <c r="AUP39" s="94"/>
      <c r="AUQ39" s="94"/>
      <c r="AUR39" s="94"/>
      <c r="AUS39" s="94"/>
      <c r="AUT39" s="94"/>
      <c r="AUU39" s="94"/>
      <c r="AUV39" s="94"/>
      <c r="AUW39" s="94"/>
      <c r="AUX39" s="94"/>
      <c r="AUY39" s="94"/>
      <c r="AUZ39" s="94"/>
      <c r="AVA39" s="94"/>
      <c r="AVB39" s="94"/>
      <c r="AVC39" s="94"/>
      <c r="AVD39" s="94"/>
      <c r="AVE39" s="94"/>
      <c r="AVF39" s="94"/>
      <c r="AVG39" s="94"/>
      <c r="AVH39" s="94"/>
      <c r="AVI39" s="94"/>
      <c r="AVJ39" s="94"/>
      <c r="AVK39" s="94"/>
      <c r="AVL39" s="94"/>
      <c r="AVM39" s="94"/>
      <c r="AVN39" s="94"/>
      <c r="AVO39" s="94"/>
      <c r="AVP39" s="94"/>
      <c r="AVQ39" s="94"/>
      <c r="AVR39" s="94"/>
      <c r="AVS39" s="94"/>
      <c r="AVT39" s="94"/>
      <c r="AVU39" s="94"/>
      <c r="AVV39" s="94"/>
      <c r="AVW39" s="94"/>
      <c r="AVX39" s="94"/>
      <c r="AVY39" s="94"/>
      <c r="AVZ39" s="94"/>
      <c r="AWA39" s="94"/>
      <c r="AWB39" s="94"/>
      <c r="AWC39" s="94"/>
      <c r="AWD39" s="94"/>
      <c r="AWE39" s="94"/>
      <c r="AWF39" s="94"/>
      <c r="AWG39" s="94"/>
      <c r="AWH39" s="94"/>
      <c r="AWI39" s="94"/>
      <c r="AWJ39" s="94"/>
      <c r="AWK39" s="94"/>
      <c r="AWL39" s="94"/>
      <c r="AWM39" s="94"/>
      <c r="AWN39" s="94"/>
      <c r="AWO39" s="94"/>
      <c r="AWP39" s="94"/>
      <c r="AWQ39" s="94"/>
      <c r="AWR39" s="94"/>
      <c r="AWS39" s="94"/>
      <c r="AWT39" s="94"/>
      <c r="AWU39" s="94"/>
      <c r="AWV39" s="94"/>
      <c r="AWW39" s="94"/>
      <c r="AWX39" s="94"/>
      <c r="AWY39" s="94"/>
      <c r="AWZ39" s="94"/>
      <c r="AXA39" s="94"/>
      <c r="AXB39" s="94"/>
      <c r="AXC39" s="94"/>
      <c r="AXD39" s="94"/>
      <c r="AXE39" s="94"/>
      <c r="AXF39" s="94"/>
      <c r="AXG39" s="94"/>
      <c r="AXH39" s="94"/>
      <c r="AXI39" s="94"/>
      <c r="AXJ39" s="94"/>
      <c r="AXK39" s="94"/>
      <c r="AXL39" s="94"/>
      <c r="AXM39" s="94"/>
      <c r="AXN39" s="94"/>
      <c r="AXO39" s="94"/>
      <c r="AXP39" s="94"/>
      <c r="AXQ39" s="94"/>
      <c r="AXR39" s="94"/>
      <c r="AXS39" s="94"/>
      <c r="AXT39" s="94"/>
      <c r="AXU39" s="94"/>
      <c r="AXV39" s="94"/>
      <c r="AXW39" s="94"/>
      <c r="AXX39" s="94"/>
      <c r="AXY39" s="94"/>
      <c r="AXZ39" s="94"/>
      <c r="AYA39" s="94"/>
      <c r="AYB39" s="94"/>
      <c r="AYC39" s="94"/>
      <c r="AYD39" s="94"/>
      <c r="AYE39" s="94"/>
      <c r="AYF39" s="94"/>
      <c r="AYG39" s="94"/>
      <c r="AYH39" s="94"/>
      <c r="AYI39" s="94"/>
      <c r="AYJ39" s="94"/>
      <c r="AYK39" s="94"/>
      <c r="AYL39" s="94"/>
      <c r="AYM39" s="94"/>
      <c r="AYN39" s="94"/>
      <c r="AYO39" s="94"/>
      <c r="AYP39" s="94"/>
      <c r="AYQ39" s="94"/>
      <c r="AYR39" s="94"/>
      <c r="AYS39" s="94"/>
      <c r="AYT39" s="94"/>
      <c r="AYU39" s="94"/>
      <c r="AYV39" s="94"/>
      <c r="AYW39" s="94"/>
      <c r="AYX39" s="94"/>
      <c r="AYY39" s="94"/>
      <c r="AYZ39" s="94"/>
      <c r="AZA39" s="94"/>
      <c r="AZB39" s="94"/>
      <c r="AZC39" s="94"/>
      <c r="AZD39" s="94"/>
      <c r="AZE39" s="94"/>
      <c r="AZF39" s="94"/>
      <c r="AZG39" s="94"/>
      <c r="AZH39" s="94"/>
      <c r="AZI39" s="94"/>
      <c r="AZJ39" s="94"/>
      <c r="AZK39" s="94"/>
      <c r="AZL39" s="94"/>
      <c r="AZM39" s="94"/>
      <c r="AZN39" s="94"/>
      <c r="AZO39" s="94"/>
      <c r="AZP39" s="94"/>
      <c r="AZQ39" s="94"/>
      <c r="AZR39" s="94"/>
      <c r="AZS39" s="94"/>
      <c r="AZT39" s="94"/>
      <c r="AZU39" s="94"/>
      <c r="AZV39" s="94"/>
      <c r="AZW39" s="94"/>
      <c r="AZX39" s="94"/>
      <c r="AZY39" s="94"/>
      <c r="AZZ39" s="94"/>
      <c r="BAA39" s="94"/>
      <c r="BAB39" s="94"/>
      <c r="BAC39" s="94"/>
      <c r="BAD39" s="94"/>
      <c r="BAE39" s="94"/>
      <c r="BAF39" s="94"/>
      <c r="BAG39" s="94"/>
      <c r="BAH39" s="94"/>
      <c r="BAI39" s="94"/>
      <c r="BAJ39" s="94"/>
      <c r="BAK39" s="94"/>
      <c r="BAL39" s="94"/>
      <c r="BAM39" s="94"/>
      <c r="BAN39" s="94"/>
      <c r="BAO39" s="94"/>
      <c r="BAP39" s="94"/>
      <c r="BAQ39" s="94"/>
      <c r="BAR39" s="94"/>
      <c r="BAS39" s="94"/>
      <c r="BAT39" s="94"/>
      <c r="BAU39" s="94"/>
      <c r="BAV39" s="94"/>
      <c r="BAW39" s="94"/>
      <c r="BAX39" s="94"/>
      <c r="BAY39" s="94"/>
      <c r="BAZ39" s="94"/>
      <c r="BBA39" s="94"/>
      <c r="BBB39" s="94"/>
      <c r="BBC39" s="94"/>
      <c r="BBD39" s="94"/>
      <c r="BBE39" s="94"/>
      <c r="BBF39" s="94"/>
      <c r="BBG39" s="94"/>
      <c r="BBH39" s="94"/>
      <c r="BBI39" s="94"/>
      <c r="BBJ39" s="94"/>
      <c r="BBK39" s="94"/>
      <c r="BBL39" s="94"/>
      <c r="BBM39" s="94"/>
      <c r="BBN39" s="94"/>
      <c r="BBO39" s="94"/>
      <c r="BBP39" s="94"/>
      <c r="BBQ39" s="94"/>
      <c r="BBR39" s="94"/>
      <c r="BBS39" s="94"/>
      <c r="BBT39" s="94"/>
      <c r="BBU39" s="94"/>
      <c r="BBV39" s="94"/>
      <c r="BBW39" s="94"/>
      <c r="BBX39" s="94"/>
      <c r="BBY39" s="94"/>
      <c r="BBZ39" s="94"/>
      <c r="BCA39" s="94"/>
      <c r="BCB39" s="94"/>
      <c r="BCC39" s="94"/>
      <c r="BCD39" s="94"/>
      <c r="BCE39" s="94"/>
      <c r="BCF39" s="94"/>
      <c r="BCG39" s="94"/>
      <c r="BCH39" s="94"/>
      <c r="BCI39" s="94"/>
      <c r="BCJ39" s="94"/>
      <c r="BCK39" s="94"/>
      <c r="BCL39" s="94"/>
      <c r="BCM39" s="94"/>
      <c r="BCN39" s="94"/>
      <c r="BCO39" s="94"/>
      <c r="BCP39" s="94"/>
      <c r="BCQ39" s="94"/>
      <c r="BCR39" s="94"/>
      <c r="BCS39" s="94"/>
      <c r="BCT39" s="94"/>
      <c r="BCU39" s="94"/>
      <c r="BCV39" s="94"/>
      <c r="BCW39" s="94"/>
      <c r="BCX39" s="94"/>
      <c r="BCY39" s="94"/>
      <c r="BCZ39" s="94"/>
      <c r="BDA39" s="94"/>
      <c r="BDB39" s="94"/>
      <c r="BDC39" s="94"/>
      <c r="BDD39" s="94"/>
      <c r="BDE39" s="94"/>
      <c r="BDF39" s="94"/>
      <c r="BDG39" s="94"/>
      <c r="BDH39" s="94"/>
      <c r="BDI39" s="94"/>
      <c r="BDJ39" s="94"/>
      <c r="BDK39" s="94"/>
      <c r="BDL39" s="94"/>
      <c r="BDM39" s="94"/>
      <c r="BDN39" s="94"/>
      <c r="BDO39" s="94"/>
      <c r="BDP39" s="94"/>
      <c r="BDQ39" s="94"/>
      <c r="BDR39" s="94"/>
      <c r="BDS39" s="94"/>
      <c r="BDT39" s="94"/>
      <c r="BDU39" s="94"/>
      <c r="BDV39" s="94"/>
      <c r="BDW39" s="94"/>
      <c r="BDX39" s="94"/>
      <c r="BDY39" s="94"/>
      <c r="BDZ39" s="94"/>
      <c r="BEA39" s="94"/>
      <c r="BEB39" s="94"/>
      <c r="BEC39" s="94"/>
      <c r="BED39" s="94"/>
      <c r="BEE39" s="94"/>
      <c r="BEF39" s="94"/>
      <c r="BEG39" s="94"/>
      <c r="BEH39" s="94"/>
      <c r="BEI39" s="94"/>
      <c r="BEJ39" s="94"/>
      <c r="BEK39" s="94"/>
      <c r="BEL39" s="94"/>
      <c r="BEM39" s="94"/>
      <c r="BEN39" s="94"/>
      <c r="BEO39" s="94"/>
      <c r="BEP39" s="94"/>
      <c r="BEQ39" s="94"/>
      <c r="BER39" s="94"/>
      <c r="BES39" s="94"/>
      <c r="BET39" s="94"/>
      <c r="BEU39" s="94"/>
      <c r="BEV39" s="94"/>
      <c r="BEW39" s="94"/>
      <c r="BEX39" s="94"/>
      <c r="BEY39" s="94"/>
      <c r="BEZ39" s="94"/>
      <c r="BFA39" s="94"/>
      <c r="BFB39" s="94"/>
      <c r="BFC39" s="94"/>
      <c r="BFD39" s="94"/>
      <c r="BFE39" s="94"/>
      <c r="BFF39" s="94"/>
      <c r="BFG39" s="94"/>
      <c r="BFH39" s="94"/>
      <c r="BFI39" s="94"/>
      <c r="BFJ39" s="94"/>
      <c r="BFK39" s="94"/>
      <c r="BFL39" s="94"/>
      <c r="BFM39" s="94"/>
      <c r="BFN39" s="94"/>
      <c r="BFO39" s="94"/>
      <c r="BFP39" s="94"/>
      <c r="BFQ39" s="94"/>
      <c r="BFR39" s="94"/>
      <c r="BFS39" s="94"/>
      <c r="BFT39" s="94"/>
      <c r="BFU39" s="94"/>
      <c r="BFV39" s="94"/>
      <c r="BFW39" s="94"/>
      <c r="BFX39" s="94"/>
      <c r="BFY39" s="94"/>
      <c r="BFZ39" s="94"/>
      <c r="BGA39" s="94"/>
      <c r="BGB39" s="94"/>
      <c r="BGC39" s="94"/>
      <c r="BGD39" s="94"/>
      <c r="BGE39" s="94"/>
      <c r="BGF39" s="94"/>
      <c r="BGG39" s="94"/>
      <c r="BGH39" s="94"/>
      <c r="BGI39" s="94"/>
      <c r="BGJ39" s="94"/>
      <c r="BGK39" s="94"/>
      <c r="BGL39" s="94"/>
      <c r="BGM39" s="94"/>
      <c r="BGN39" s="94"/>
      <c r="BGO39" s="94"/>
      <c r="BGP39" s="94"/>
      <c r="BGQ39" s="94"/>
      <c r="BGR39" s="94"/>
      <c r="BGS39" s="94"/>
      <c r="BGT39" s="94"/>
      <c r="BGU39" s="94"/>
      <c r="BGV39" s="94"/>
      <c r="BGW39" s="94"/>
      <c r="BGX39" s="94"/>
      <c r="BGY39" s="94"/>
      <c r="BGZ39" s="94"/>
      <c r="BHA39" s="94"/>
      <c r="BHB39" s="94"/>
      <c r="BHC39" s="94"/>
      <c r="BHD39" s="94"/>
      <c r="BHE39" s="94"/>
      <c r="BHF39" s="94"/>
      <c r="BHG39" s="94"/>
      <c r="BHH39" s="94"/>
      <c r="BHI39" s="94"/>
      <c r="BHJ39" s="94"/>
      <c r="BHK39" s="94"/>
      <c r="BHL39" s="94"/>
      <c r="BHM39" s="94"/>
      <c r="BHN39" s="94"/>
      <c r="BHO39" s="94"/>
      <c r="BHP39" s="94"/>
      <c r="BHQ39" s="94"/>
      <c r="BHR39" s="94"/>
      <c r="BHS39" s="94"/>
      <c r="BHT39" s="94"/>
      <c r="BHU39" s="94"/>
      <c r="BHV39" s="94"/>
      <c r="BHW39" s="94"/>
      <c r="BHX39" s="94"/>
      <c r="BHY39" s="94"/>
      <c r="BHZ39" s="94"/>
      <c r="BIA39" s="94"/>
      <c r="BIB39" s="94"/>
      <c r="BIC39" s="94"/>
      <c r="BID39" s="94"/>
      <c r="BIE39" s="94"/>
      <c r="BIF39" s="94"/>
      <c r="BIG39" s="94"/>
      <c r="BIH39" s="94"/>
      <c r="BII39" s="94"/>
      <c r="BIJ39" s="94"/>
      <c r="BIK39" s="94"/>
      <c r="BIL39" s="94"/>
      <c r="BIM39" s="94"/>
      <c r="BIN39" s="94"/>
      <c r="BIO39" s="94"/>
      <c r="BIP39" s="94"/>
      <c r="BIQ39" s="94"/>
      <c r="BIR39" s="94"/>
      <c r="BIS39" s="94"/>
      <c r="BIT39" s="94"/>
      <c r="BIU39" s="94"/>
      <c r="BIV39" s="94"/>
      <c r="BIW39" s="94"/>
      <c r="BIX39" s="94"/>
      <c r="BIY39" s="94"/>
      <c r="BIZ39" s="94"/>
      <c r="BJA39" s="94"/>
      <c r="BJB39" s="94"/>
      <c r="BJC39" s="94"/>
      <c r="BJD39" s="94"/>
      <c r="BJE39" s="94"/>
      <c r="BJF39" s="94"/>
    </row>
    <row r="40" s="92" customFormat="true" ht="15.75" hidden="false" customHeight="true" outlineLevel="0" collapsed="false">
      <c r="A40" s="26"/>
      <c r="B40" s="26"/>
      <c r="C40" s="26"/>
      <c r="D40" s="42"/>
      <c r="E40" s="66"/>
      <c r="F40" s="72"/>
      <c r="G40" s="72"/>
      <c r="H40" s="72"/>
      <c r="I40" s="72"/>
      <c r="J40" s="72"/>
      <c r="K40" s="72"/>
      <c r="L40" s="72"/>
      <c r="M40" s="72" t="n">
        <f aca="false">SUM(F40:L40)</f>
        <v>0</v>
      </c>
      <c r="N40" s="95" t="n">
        <f aca="false">SUM(G40:L40)</f>
        <v>0</v>
      </c>
      <c r="O40" s="83" t="n">
        <v>1.75</v>
      </c>
      <c r="P40" s="83" t="n">
        <f aca="false">F40</f>
        <v>0</v>
      </c>
      <c r="Q40" s="32" t="n">
        <f aca="false">F40</f>
        <v>0</v>
      </c>
      <c r="R40" s="83" t="n">
        <v>1.85</v>
      </c>
      <c r="S40" s="83" t="n">
        <f aca="false">Q40*R40</f>
        <v>0</v>
      </c>
      <c r="T40" s="83" t="n">
        <f aca="false">S40+P40</f>
        <v>0</v>
      </c>
      <c r="U40" s="43"/>
      <c r="V40" s="43"/>
      <c r="W40" s="43"/>
      <c r="X40" s="43"/>
      <c r="Y40" s="43"/>
      <c r="Z40" s="38" t="n">
        <f aca="false">T40+U40-V40-W40-X40-Y40</f>
        <v>0</v>
      </c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4"/>
      <c r="CF40" s="94"/>
      <c r="CG40" s="94"/>
      <c r="CH40" s="94"/>
      <c r="CI40" s="94"/>
      <c r="CJ40" s="94"/>
      <c r="CK40" s="94"/>
      <c r="CL40" s="94"/>
      <c r="CM40" s="94"/>
      <c r="CN40" s="94"/>
      <c r="CO40" s="94"/>
      <c r="CP40" s="94"/>
      <c r="CQ40" s="94"/>
      <c r="CR40" s="94"/>
      <c r="CS40" s="94"/>
      <c r="CT40" s="94"/>
      <c r="CU40" s="94"/>
      <c r="CV40" s="94"/>
      <c r="CW40" s="94"/>
      <c r="CX40" s="94"/>
      <c r="CY40" s="94"/>
      <c r="CZ40" s="94"/>
      <c r="DA40" s="94"/>
      <c r="DB40" s="94"/>
      <c r="DC40" s="94"/>
      <c r="DD40" s="94"/>
      <c r="DE40" s="94"/>
      <c r="DF40" s="94"/>
      <c r="DG40" s="94"/>
      <c r="DH40" s="94"/>
      <c r="DI40" s="94"/>
      <c r="DJ40" s="94"/>
      <c r="DK40" s="94"/>
      <c r="DL40" s="94"/>
      <c r="DM40" s="94"/>
      <c r="DN40" s="94"/>
      <c r="DO40" s="94"/>
      <c r="DP40" s="94"/>
      <c r="DQ40" s="94"/>
      <c r="DR40" s="94"/>
      <c r="DS40" s="94"/>
      <c r="DT40" s="94"/>
      <c r="DU40" s="94"/>
      <c r="DV40" s="94"/>
      <c r="DW40" s="94"/>
      <c r="DX40" s="94"/>
      <c r="DY40" s="94"/>
      <c r="DZ40" s="94"/>
      <c r="EA40" s="94"/>
      <c r="EB40" s="94"/>
      <c r="EC40" s="94"/>
      <c r="ED40" s="94"/>
      <c r="EE40" s="94"/>
      <c r="EF40" s="94"/>
      <c r="EG40" s="94"/>
      <c r="EH40" s="94"/>
      <c r="EI40" s="94"/>
      <c r="EJ40" s="94"/>
      <c r="EK40" s="94"/>
      <c r="EL40" s="94"/>
      <c r="EM40" s="94"/>
      <c r="EN40" s="94"/>
      <c r="EO40" s="94"/>
      <c r="EP40" s="94"/>
      <c r="EQ40" s="94"/>
      <c r="ER40" s="94"/>
      <c r="ES40" s="94"/>
      <c r="ET40" s="94"/>
      <c r="EU40" s="94"/>
      <c r="EV40" s="94"/>
      <c r="EW40" s="94"/>
      <c r="EX40" s="94"/>
      <c r="EY40" s="94"/>
      <c r="EZ40" s="94"/>
      <c r="FA40" s="94"/>
      <c r="FB40" s="94"/>
      <c r="FC40" s="94"/>
      <c r="FD40" s="94"/>
      <c r="FE40" s="94"/>
      <c r="FF40" s="94"/>
      <c r="FG40" s="94"/>
      <c r="FH40" s="94"/>
      <c r="FI40" s="94"/>
      <c r="FJ40" s="94"/>
      <c r="FK40" s="94"/>
      <c r="FL40" s="94"/>
      <c r="FM40" s="94"/>
      <c r="FN40" s="94"/>
      <c r="FO40" s="94"/>
      <c r="FP40" s="94"/>
      <c r="FQ40" s="94"/>
      <c r="FR40" s="94"/>
      <c r="FS40" s="94"/>
      <c r="FT40" s="94"/>
      <c r="FU40" s="94"/>
      <c r="FV40" s="94"/>
      <c r="FW40" s="94"/>
      <c r="FX40" s="94"/>
      <c r="FY40" s="94"/>
      <c r="FZ40" s="94"/>
      <c r="GA40" s="94"/>
      <c r="GB40" s="94"/>
      <c r="GC40" s="94"/>
      <c r="GD40" s="94"/>
      <c r="GE40" s="94"/>
      <c r="GF40" s="94"/>
      <c r="GG40" s="94"/>
      <c r="GH40" s="94"/>
      <c r="GI40" s="94"/>
      <c r="GJ40" s="94"/>
      <c r="GK40" s="94"/>
      <c r="GL40" s="94"/>
      <c r="GM40" s="94"/>
      <c r="GN40" s="94"/>
      <c r="GO40" s="94"/>
      <c r="GP40" s="94"/>
      <c r="GQ40" s="94"/>
      <c r="GR40" s="94"/>
      <c r="GS40" s="94"/>
      <c r="GT40" s="94"/>
      <c r="GU40" s="94"/>
      <c r="GV40" s="94"/>
      <c r="GW40" s="94"/>
      <c r="GX40" s="94"/>
      <c r="GY40" s="94"/>
      <c r="GZ40" s="94"/>
      <c r="HA40" s="94"/>
      <c r="HB40" s="94"/>
      <c r="HC40" s="94"/>
      <c r="HD40" s="94"/>
      <c r="HE40" s="94"/>
      <c r="HF40" s="94"/>
      <c r="HG40" s="94"/>
      <c r="HH40" s="94"/>
      <c r="HI40" s="94"/>
      <c r="HJ40" s="94"/>
      <c r="HK40" s="94"/>
      <c r="HL40" s="94"/>
      <c r="HM40" s="94"/>
      <c r="HN40" s="94"/>
      <c r="HO40" s="94"/>
      <c r="HP40" s="94"/>
      <c r="HQ40" s="94"/>
      <c r="HR40" s="94"/>
      <c r="HS40" s="94"/>
      <c r="HT40" s="94"/>
      <c r="HU40" s="94"/>
      <c r="HV40" s="94"/>
      <c r="HW40" s="94"/>
      <c r="HX40" s="94"/>
      <c r="HY40" s="94"/>
      <c r="HZ40" s="94"/>
      <c r="IA40" s="94"/>
      <c r="IB40" s="94"/>
      <c r="IC40" s="94"/>
      <c r="ID40" s="94"/>
      <c r="IE40" s="94"/>
      <c r="IF40" s="94"/>
      <c r="IG40" s="94"/>
      <c r="IH40" s="94"/>
      <c r="II40" s="94"/>
      <c r="IJ40" s="94"/>
      <c r="IK40" s="94"/>
      <c r="IL40" s="94"/>
      <c r="IM40" s="94"/>
      <c r="IN40" s="94"/>
      <c r="IO40" s="94"/>
      <c r="IP40" s="94"/>
      <c r="IQ40" s="94"/>
      <c r="IR40" s="94"/>
      <c r="IS40" s="94"/>
      <c r="IT40" s="94"/>
      <c r="IU40" s="94"/>
      <c r="IV40" s="94"/>
      <c r="IW40" s="94"/>
      <c r="IX40" s="94"/>
      <c r="IY40" s="94"/>
      <c r="IZ40" s="94"/>
      <c r="JA40" s="94"/>
      <c r="JB40" s="94"/>
      <c r="JC40" s="94"/>
      <c r="JD40" s="94"/>
      <c r="JE40" s="94"/>
      <c r="JF40" s="94"/>
      <c r="JG40" s="94"/>
      <c r="JH40" s="94"/>
      <c r="JI40" s="94"/>
      <c r="JJ40" s="94"/>
      <c r="JK40" s="94"/>
      <c r="JL40" s="94"/>
      <c r="JM40" s="94"/>
      <c r="JN40" s="94"/>
      <c r="JO40" s="94"/>
      <c r="JP40" s="94"/>
      <c r="JQ40" s="94"/>
      <c r="JR40" s="94"/>
      <c r="JS40" s="94"/>
      <c r="JT40" s="94"/>
      <c r="JU40" s="94"/>
      <c r="JV40" s="94"/>
      <c r="JW40" s="94"/>
      <c r="JX40" s="94"/>
      <c r="JY40" s="94"/>
      <c r="JZ40" s="94"/>
      <c r="KA40" s="94"/>
      <c r="KB40" s="94"/>
      <c r="KC40" s="94"/>
      <c r="KD40" s="94"/>
      <c r="KE40" s="94"/>
      <c r="KF40" s="94"/>
      <c r="KG40" s="94"/>
      <c r="KH40" s="94"/>
      <c r="KI40" s="94"/>
      <c r="KJ40" s="94"/>
      <c r="KK40" s="94"/>
      <c r="KL40" s="94"/>
      <c r="KM40" s="94"/>
      <c r="KN40" s="94"/>
      <c r="KO40" s="94"/>
      <c r="KP40" s="94"/>
      <c r="KQ40" s="94"/>
      <c r="KR40" s="94"/>
      <c r="KS40" s="94"/>
      <c r="KT40" s="94"/>
      <c r="KU40" s="94"/>
      <c r="KV40" s="94"/>
      <c r="KW40" s="94"/>
      <c r="KX40" s="94"/>
      <c r="KY40" s="94"/>
      <c r="KZ40" s="94"/>
      <c r="LA40" s="94"/>
      <c r="LB40" s="94"/>
      <c r="LC40" s="94"/>
      <c r="LD40" s="94"/>
      <c r="LE40" s="94"/>
      <c r="LF40" s="94"/>
      <c r="LG40" s="94"/>
      <c r="LH40" s="94"/>
      <c r="LI40" s="94"/>
      <c r="LJ40" s="94"/>
      <c r="LK40" s="94"/>
      <c r="LL40" s="94"/>
      <c r="LM40" s="94"/>
      <c r="LN40" s="94"/>
      <c r="LO40" s="94"/>
      <c r="LP40" s="94"/>
      <c r="LQ40" s="94"/>
      <c r="LR40" s="94"/>
      <c r="LS40" s="94"/>
      <c r="LT40" s="94"/>
      <c r="LU40" s="94"/>
      <c r="LV40" s="94"/>
      <c r="LW40" s="94"/>
      <c r="LX40" s="94"/>
      <c r="LY40" s="94"/>
      <c r="LZ40" s="94"/>
      <c r="MA40" s="94"/>
      <c r="MB40" s="94"/>
      <c r="MC40" s="94"/>
      <c r="MD40" s="94"/>
      <c r="ME40" s="94"/>
      <c r="MF40" s="94"/>
      <c r="MG40" s="94"/>
      <c r="MH40" s="94"/>
      <c r="MI40" s="94"/>
      <c r="MJ40" s="94"/>
      <c r="MK40" s="94"/>
      <c r="ML40" s="94"/>
      <c r="MM40" s="94"/>
      <c r="MN40" s="94"/>
      <c r="MO40" s="94"/>
      <c r="MP40" s="94"/>
      <c r="MQ40" s="94"/>
      <c r="MR40" s="94"/>
      <c r="MS40" s="94"/>
      <c r="MT40" s="94"/>
      <c r="MU40" s="94"/>
      <c r="MV40" s="94"/>
      <c r="MW40" s="94"/>
      <c r="MX40" s="94"/>
      <c r="MY40" s="94"/>
      <c r="MZ40" s="94"/>
      <c r="NA40" s="94"/>
      <c r="NB40" s="94"/>
      <c r="NC40" s="94"/>
      <c r="ND40" s="94"/>
      <c r="NE40" s="94"/>
      <c r="NF40" s="94"/>
      <c r="NG40" s="94"/>
      <c r="NH40" s="94"/>
      <c r="NI40" s="94"/>
      <c r="NJ40" s="94"/>
      <c r="NK40" s="94"/>
      <c r="NL40" s="94"/>
      <c r="NM40" s="94"/>
      <c r="NN40" s="94"/>
      <c r="NO40" s="94"/>
      <c r="NP40" s="94"/>
      <c r="NQ40" s="94"/>
      <c r="NR40" s="94"/>
      <c r="NS40" s="94"/>
      <c r="NT40" s="94"/>
      <c r="NU40" s="94"/>
      <c r="NV40" s="94"/>
      <c r="NW40" s="94"/>
      <c r="NX40" s="94"/>
      <c r="NY40" s="94"/>
      <c r="NZ40" s="94"/>
      <c r="OA40" s="94"/>
      <c r="OB40" s="94"/>
      <c r="OC40" s="94"/>
      <c r="OD40" s="94"/>
      <c r="OE40" s="94"/>
      <c r="OF40" s="94"/>
      <c r="OG40" s="94"/>
      <c r="OH40" s="94"/>
      <c r="OI40" s="94"/>
      <c r="OJ40" s="94"/>
      <c r="OK40" s="94"/>
      <c r="OL40" s="94"/>
      <c r="OM40" s="94"/>
      <c r="ON40" s="94"/>
      <c r="OO40" s="94"/>
      <c r="OP40" s="94"/>
      <c r="OQ40" s="94"/>
      <c r="OR40" s="94"/>
      <c r="OS40" s="94"/>
      <c r="OT40" s="94"/>
      <c r="OU40" s="94"/>
      <c r="OV40" s="94"/>
      <c r="OW40" s="94"/>
      <c r="OX40" s="94"/>
      <c r="OY40" s="94"/>
      <c r="OZ40" s="94"/>
      <c r="PA40" s="94"/>
      <c r="PB40" s="94"/>
      <c r="PC40" s="94"/>
      <c r="PD40" s="94"/>
      <c r="PE40" s="94"/>
      <c r="PF40" s="94"/>
      <c r="PG40" s="94"/>
      <c r="PH40" s="94"/>
      <c r="PI40" s="94"/>
      <c r="PJ40" s="94"/>
      <c r="PK40" s="94"/>
      <c r="PL40" s="94"/>
      <c r="PM40" s="94"/>
      <c r="PN40" s="94"/>
      <c r="PO40" s="94"/>
      <c r="PP40" s="94"/>
      <c r="PQ40" s="94"/>
      <c r="PR40" s="94"/>
      <c r="PS40" s="94"/>
      <c r="PT40" s="94"/>
      <c r="PU40" s="94"/>
      <c r="PV40" s="94"/>
      <c r="PW40" s="94"/>
      <c r="PX40" s="94"/>
      <c r="PY40" s="94"/>
      <c r="PZ40" s="94"/>
      <c r="QA40" s="94"/>
      <c r="QB40" s="94"/>
      <c r="QC40" s="94"/>
      <c r="QD40" s="94"/>
      <c r="QE40" s="94"/>
      <c r="QF40" s="94"/>
      <c r="QG40" s="94"/>
      <c r="QH40" s="94"/>
      <c r="QI40" s="94"/>
      <c r="QJ40" s="94"/>
      <c r="QK40" s="94"/>
      <c r="QL40" s="94"/>
      <c r="QM40" s="94"/>
      <c r="QN40" s="94"/>
      <c r="QO40" s="94"/>
      <c r="QP40" s="94"/>
      <c r="QQ40" s="94"/>
      <c r="QR40" s="94"/>
      <c r="QS40" s="94"/>
      <c r="QT40" s="94"/>
      <c r="QU40" s="94"/>
      <c r="QV40" s="94"/>
      <c r="QW40" s="94"/>
      <c r="QX40" s="94"/>
      <c r="QY40" s="94"/>
      <c r="QZ40" s="94"/>
      <c r="RA40" s="94"/>
      <c r="RB40" s="94"/>
      <c r="RC40" s="94"/>
      <c r="RD40" s="94"/>
      <c r="RE40" s="94"/>
      <c r="RF40" s="94"/>
      <c r="RG40" s="94"/>
      <c r="RH40" s="94"/>
      <c r="RI40" s="94"/>
      <c r="RJ40" s="94"/>
      <c r="RK40" s="94"/>
      <c r="RL40" s="94"/>
      <c r="RM40" s="94"/>
      <c r="RN40" s="94"/>
      <c r="RO40" s="94"/>
      <c r="RP40" s="94"/>
      <c r="RQ40" s="94"/>
      <c r="RR40" s="94"/>
      <c r="RS40" s="94"/>
      <c r="RT40" s="94"/>
      <c r="RU40" s="94"/>
      <c r="RV40" s="94"/>
      <c r="RW40" s="94"/>
      <c r="RX40" s="94"/>
      <c r="RY40" s="94"/>
      <c r="RZ40" s="94"/>
      <c r="SA40" s="94"/>
      <c r="SB40" s="94"/>
      <c r="SC40" s="94"/>
      <c r="SD40" s="94"/>
      <c r="SE40" s="94"/>
      <c r="SF40" s="94"/>
      <c r="SG40" s="94"/>
      <c r="SH40" s="94"/>
      <c r="SI40" s="94"/>
      <c r="SJ40" s="94"/>
      <c r="SK40" s="94"/>
      <c r="SL40" s="94"/>
      <c r="SM40" s="94"/>
      <c r="SN40" s="94"/>
      <c r="SO40" s="94"/>
      <c r="SP40" s="94"/>
      <c r="SQ40" s="94"/>
      <c r="SR40" s="94"/>
      <c r="SS40" s="94"/>
      <c r="ST40" s="94"/>
      <c r="SU40" s="94"/>
      <c r="SV40" s="94"/>
      <c r="SW40" s="94"/>
      <c r="SX40" s="94"/>
      <c r="SY40" s="94"/>
      <c r="SZ40" s="94"/>
      <c r="TA40" s="94"/>
      <c r="TB40" s="94"/>
      <c r="TC40" s="94"/>
      <c r="TD40" s="94"/>
      <c r="TE40" s="94"/>
      <c r="TF40" s="94"/>
      <c r="TG40" s="94"/>
      <c r="TH40" s="94"/>
      <c r="TI40" s="94"/>
      <c r="TJ40" s="94"/>
      <c r="TK40" s="94"/>
      <c r="TL40" s="94"/>
      <c r="TM40" s="94"/>
      <c r="TN40" s="94"/>
      <c r="TO40" s="94"/>
      <c r="TP40" s="94"/>
      <c r="TQ40" s="94"/>
      <c r="TR40" s="94"/>
      <c r="TS40" s="94"/>
      <c r="TT40" s="94"/>
      <c r="TU40" s="94"/>
      <c r="TV40" s="94"/>
      <c r="TW40" s="94"/>
      <c r="TX40" s="94"/>
      <c r="TY40" s="94"/>
      <c r="TZ40" s="94"/>
      <c r="UA40" s="94"/>
      <c r="UB40" s="94"/>
      <c r="UC40" s="94"/>
      <c r="UD40" s="94"/>
      <c r="UE40" s="94"/>
      <c r="UF40" s="94"/>
      <c r="UG40" s="94"/>
      <c r="UH40" s="94"/>
      <c r="UI40" s="94"/>
      <c r="UJ40" s="94"/>
      <c r="UK40" s="94"/>
      <c r="UL40" s="94"/>
      <c r="UM40" s="94"/>
      <c r="UN40" s="94"/>
      <c r="UO40" s="94"/>
      <c r="UP40" s="94"/>
      <c r="UQ40" s="94"/>
      <c r="UR40" s="94"/>
      <c r="US40" s="94"/>
      <c r="UT40" s="94"/>
      <c r="UU40" s="94"/>
      <c r="UV40" s="94"/>
      <c r="UW40" s="94"/>
      <c r="UX40" s="94"/>
      <c r="UY40" s="94"/>
      <c r="UZ40" s="94"/>
      <c r="VA40" s="94"/>
      <c r="VB40" s="94"/>
      <c r="VC40" s="94"/>
      <c r="VD40" s="94"/>
      <c r="VE40" s="94"/>
      <c r="VF40" s="94"/>
      <c r="VG40" s="94"/>
      <c r="VH40" s="94"/>
      <c r="VI40" s="94"/>
      <c r="VJ40" s="94"/>
      <c r="VK40" s="94"/>
      <c r="VL40" s="94"/>
      <c r="VM40" s="94"/>
      <c r="VN40" s="94"/>
      <c r="VO40" s="94"/>
      <c r="VP40" s="94"/>
      <c r="VQ40" s="94"/>
      <c r="VR40" s="94"/>
      <c r="VS40" s="94"/>
      <c r="VT40" s="94"/>
      <c r="VU40" s="94"/>
      <c r="VV40" s="94"/>
      <c r="VW40" s="94"/>
      <c r="VX40" s="94"/>
      <c r="VY40" s="94"/>
      <c r="VZ40" s="94"/>
      <c r="WA40" s="94"/>
      <c r="WB40" s="94"/>
      <c r="WC40" s="94"/>
      <c r="WD40" s="94"/>
      <c r="WE40" s="94"/>
      <c r="WF40" s="94"/>
      <c r="WG40" s="94"/>
      <c r="WH40" s="94"/>
      <c r="WI40" s="94"/>
      <c r="WJ40" s="94"/>
      <c r="WK40" s="94"/>
      <c r="WL40" s="94"/>
      <c r="WM40" s="94"/>
      <c r="WN40" s="94"/>
      <c r="WO40" s="94"/>
      <c r="WP40" s="94"/>
      <c r="WQ40" s="94"/>
      <c r="WR40" s="94"/>
      <c r="WS40" s="94"/>
      <c r="WT40" s="94"/>
      <c r="WU40" s="94"/>
      <c r="WV40" s="94"/>
      <c r="WW40" s="94"/>
      <c r="WX40" s="94"/>
      <c r="WY40" s="94"/>
      <c r="WZ40" s="94"/>
      <c r="XA40" s="94"/>
      <c r="XB40" s="94"/>
      <c r="XC40" s="94"/>
      <c r="XD40" s="94"/>
      <c r="XE40" s="94"/>
      <c r="XF40" s="94"/>
      <c r="XG40" s="94"/>
      <c r="XH40" s="94"/>
      <c r="XI40" s="94"/>
      <c r="XJ40" s="94"/>
      <c r="XK40" s="94"/>
      <c r="XL40" s="94"/>
      <c r="XM40" s="94"/>
      <c r="XN40" s="94"/>
      <c r="XO40" s="94"/>
      <c r="XP40" s="94"/>
      <c r="XQ40" s="94"/>
      <c r="XR40" s="94"/>
      <c r="XS40" s="94"/>
      <c r="XT40" s="94"/>
      <c r="XU40" s="94"/>
      <c r="XV40" s="94"/>
      <c r="XW40" s="94"/>
      <c r="XX40" s="94"/>
      <c r="XY40" s="94"/>
      <c r="XZ40" s="94"/>
      <c r="YA40" s="94"/>
      <c r="YB40" s="94"/>
      <c r="YC40" s="94"/>
      <c r="YD40" s="94"/>
      <c r="YE40" s="94"/>
      <c r="YF40" s="94"/>
      <c r="YG40" s="94"/>
      <c r="YH40" s="94"/>
      <c r="YI40" s="94"/>
      <c r="YJ40" s="94"/>
      <c r="YK40" s="94"/>
      <c r="YL40" s="94"/>
      <c r="YM40" s="94"/>
      <c r="YN40" s="94"/>
      <c r="YO40" s="94"/>
      <c r="YP40" s="94"/>
      <c r="YQ40" s="94"/>
      <c r="YR40" s="94"/>
      <c r="YS40" s="94"/>
      <c r="YT40" s="94"/>
      <c r="YU40" s="94"/>
      <c r="YV40" s="94"/>
      <c r="YW40" s="94"/>
      <c r="YX40" s="94"/>
      <c r="YY40" s="94"/>
      <c r="YZ40" s="94"/>
      <c r="ZA40" s="94"/>
      <c r="ZB40" s="94"/>
      <c r="ZC40" s="94"/>
      <c r="ZD40" s="94"/>
      <c r="ZE40" s="94"/>
      <c r="ZF40" s="94"/>
      <c r="ZG40" s="94"/>
      <c r="ZH40" s="94"/>
      <c r="ZI40" s="94"/>
      <c r="ZJ40" s="94"/>
      <c r="ZK40" s="94"/>
      <c r="ZL40" s="94"/>
      <c r="ZM40" s="94"/>
      <c r="ZN40" s="94"/>
      <c r="ZO40" s="94"/>
      <c r="ZP40" s="94"/>
      <c r="ZQ40" s="94"/>
      <c r="ZR40" s="94"/>
      <c r="ZS40" s="94"/>
      <c r="ZT40" s="94"/>
      <c r="ZU40" s="94"/>
      <c r="ZV40" s="94"/>
      <c r="ZW40" s="94"/>
      <c r="ZX40" s="94"/>
      <c r="ZY40" s="94"/>
      <c r="ZZ40" s="94"/>
      <c r="AAA40" s="94"/>
      <c r="AAB40" s="94"/>
      <c r="AAC40" s="94"/>
      <c r="AAD40" s="94"/>
      <c r="AAE40" s="94"/>
      <c r="AAF40" s="94"/>
      <c r="AAG40" s="94"/>
      <c r="AAH40" s="94"/>
      <c r="AAI40" s="94"/>
      <c r="AAJ40" s="94"/>
      <c r="AAK40" s="94"/>
      <c r="AAL40" s="94"/>
      <c r="AAM40" s="94"/>
      <c r="AAN40" s="94"/>
      <c r="AAO40" s="94"/>
      <c r="AAP40" s="94"/>
      <c r="AAQ40" s="94"/>
      <c r="AAR40" s="94"/>
      <c r="AAS40" s="94"/>
      <c r="AAT40" s="94"/>
      <c r="AAU40" s="94"/>
      <c r="AAV40" s="94"/>
      <c r="AAW40" s="94"/>
      <c r="AAX40" s="94"/>
      <c r="AAY40" s="94"/>
      <c r="AAZ40" s="94"/>
      <c r="ABA40" s="94"/>
      <c r="ABB40" s="94"/>
      <c r="ABC40" s="94"/>
      <c r="ABD40" s="94"/>
      <c r="ABE40" s="94"/>
      <c r="ABF40" s="94"/>
      <c r="ABG40" s="94"/>
      <c r="ABH40" s="94"/>
      <c r="ABI40" s="94"/>
      <c r="ABJ40" s="94"/>
      <c r="ABK40" s="94"/>
      <c r="ABL40" s="94"/>
      <c r="ABM40" s="94"/>
      <c r="ABN40" s="94"/>
      <c r="ABO40" s="94"/>
      <c r="ABP40" s="94"/>
      <c r="ABQ40" s="94"/>
      <c r="ABR40" s="94"/>
      <c r="ABS40" s="94"/>
      <c r="ABT40" s="94"/>
      <c r="ABU40" s="94"/>
      <c r="ABV40" s="94"/>
      <c r="ABW40" s="94"/>
      <c r="ABX40" s="94"/>
      <c r="ABY40" s="94"/>
      <c r="ABZ40" s="94"/>
      <c r="ACA40" s="94"/>
      <c r="ACB40" s="94"/>
      <c r="ACC40" s="94"/>
      <c r="ACD40" s="94"/>
      <c r="ACE40" s="94"/>
      <c r="ACF40" s="94"/>
      <c r="ACG40" s="94"/>
      <c r="ACH40" s="94"/>
      <c r="ACI40" s="94"/>
      <c r="ACJ40" s="94"/>
      <c r="ACK40" s="94"/>
      <c r="ACL40" s="94"/>
      <c r="ACM40" s="94"/>
      <c r="ACN40" s="94"/>
      <c r="ACO40" s="94"/>
      <c r="ACP40" s="94"/>
      <c r="ACQ40" s="94"/>
      <c r="ACR40" s="94"/>
      <c r="ACS40" s="94"/>
      <c r="ACT40" s="94"/>
      <c r="ACU40" s="94"/>
      <c r="ACV40" s="94"/>
      <c r="ACW40" s="94"/>
      <c r="ACX40" s="94"/>
      <c r="ACY40" s="94"/>
      <c r="ACZ40" s="94"/>
      <c r="ADA40" s="94"/>
      <c r="ADB40" s="94"/>
      <c r="ADC40" s="94"/>
      <c r="ADD40" s="94"/>
      <c r="ADE40" s="94"/>
      <c r="ADF40" s="94"/>
      <c r="ADG40" s="94"/>
      <c r="ADH40" s="94"/>
      <c r="ADI40" s="94"/>
      <c r="ADJ40" s="94"/>
      <c r="ADK40" s="94"/>
      <c r="ADL40" s="94"/>
      <c r="ADM40" s="94"/>
      <c r="ADN40" s="94"/>
      <c r="ADO40" s="94"/>
      <c r="ADP40" s="94"/>
      <c r="ADQ40" s="94"/>
      <c r="ADR40" s="94"/>
      <c r="ADS40" s="94"/>
      <c r="ADT40" s="94"/>
      <c r="ADU40" s="94"/>
      <c r="ADV40" s="94"/>
      <c r="ADW40" s="94"/>
      <c r="ADX40" s="94"/>
      <c r="ADY40" s="94"/>
      <c r="ADZ40" s="94"/>
      <c r="AEA40" s="94"/>
      <c r="AEB40" s="94"/>
      <c r="AEC40" s="94"/>
      <c r="AED40" s="94"/>
      <c r="AEE40" s="94"/>
      <c r="AEF40" s="94"/>
      <c r="AEG40" s="94"/>
      <c r="AEH40" s="94"/>
      <c r="AEI40" s="94"/>
      <c r="AEJ40" s="94"/>
      <c r="AEK40" s="94"/>
      <c r="AEL40" s="94"/>
      <c r="AEM40" s="94"/>
      <c r="AEN40" s="94"/>
      <c r="AEO40" s="94"/>
      <c r="AEP40" s="94"/>
      <c r="AEQ40" s="94"/>
      <c r="AER40" s="94"/>
      <c r="AES40" s="94"/>
      <c r="AET40" s="94"/>
      <c r="AEU40" s="94"/>
      <c r="AEV40" s="94"/>
      <c r="AEW40" s="94"/>
      <c r="AEX40" s="94"/>
      <c r="AEY40" s="94"/>
      <c r="AEZ40" s="94"/>
      <c r="AFA40" s="94"/>
      <c r="AFB40" s="94"/>
      <c r="AFC40" s="94"/>
      <c r="AFD40" s="94"/>
      <c r="AFE40" s="94"/>
      <c r="AFF40" s="94"/>
      <c r="AFG40" s="94"/>
      <c r="AFH40" s="94"/>
      <c r="AFI40" s="94"/>
      <c r="AFJ40" s="94"/>
      <c r="AFK40" s="94"/>
      <c r="AFL40" s="94"/>
      <c r="AFM40" s="94"/>
      <c r="AFN40" s="94"/>
      <c r="AFO40" s="94"/>
      <c r="AFP40" s="94"/>
      <c r="AFQ40" s="94"/>
      <c r="AFR40" s="94"/>
      <c r="AFS40" s="94"/>
      <c r="AFT40" s="94"/>
      <c r="AFU40" s="94"/>
      <c r="AFV40" s="94"/>
      <c r="AFW40" s="94"/>
      <c r="AFX40" s="94"/>
      <c r="AFY40" s="94"/>
      <c r="AFZ40" s="94"/>
      <c r="AGA40" s="94"/>
      <c r="AGB40" s="94"/>
      <c r="AGC40" s="94"/>
      <c r="AGD40" s="94"/>
      <c r="AGE40" s="94"/>
      <c r="AGF40" s="94"/>
      <c r="AGG40" s="94"/>
      <c r="AGH40" s="94"/>
      <c r="AGI40" s="94"/>
      <c r="AGJ40" s="94"/>
      <c r="AGK40" s="94"/>
      <c r="AGL40" s="94"/>
      <c r="AGM40" s="94"/>
      <c r="AGN40" s="94"/>
      <c r="AGO40" s="94"/>
      <c r="AGP40" s="94"/>
      <c r="AGQ40" s="94"/>
      <c r="AGR40" s="94"/>
      <c r="AGS40" s="94"/>
      <c r="AGT40" s="94"/>
      <c r="AGU40" s="94"/>
      <c r="AGV40" s="94"/>
      <c r="AGW40" s="94"/>
      <c r="AGX40" s="94"/>
      <c r="AGY40" s="94"/>
      <c r="AGZ40" s="94"/>
      <c r="AHA40" s="94"/>
      <c r="AHB40" s="94"/>
      <c r="AHC40" s="94"/>
      <c r="AHD40" s="94"/>
      <c r="AHE40" s="94"/>
      <c r="AHF40" s="94"/>
      <c r="AHG40" s="94"/>
      <c r="AHH40" s="94"/>
      <c r="AHI40" s="94"/>
      <c r="AHJ40" s="94"/>
      <c r="AHK40" s="94"/>
      <c r="AHL40" s="94"/>
      <c r="AHM40" s="94"/>
      <c r="AHN40" s="94"/>
      <c r="AHO40" s="94"/>
      <c r="AHP40" s="94"/>
      <c r="AHQ40" s="94"/>
      <c r="AHR40" s="94"/>
      <c r="AHS40" s="94"/>
      <c r="AHT40" s="94"/>
      <c r="AHU40" s="94"/>
      <c r="AHV40" s="94"/>
      <c r="AHW40" s="94"/>
      <c r="AHX40" s="94"/>
      <c r="AHY40" s="94"/>
      <c r="AHZ40" s="94"/>
      <c r="AIA40" s="94"/>
      <c r="AIB40" s="94"/>
      <c r="AIC40" s="94"/>
      <c r="AID40" s="94"/>
      <c r="AIE40" s="94"/>
      <c r="AIF40" s="94"/>
      <c r="AIG40" s="94"/>
      <c r="AIH40" s="94"/>
      <c r="AII40" s="94"/>
      <c r="AIJ40" s="94"/>
      <c r="AIK40" s="94"/>
      <c r="AIL40" s="94"/>
      <c r="AIM40" s="94"/>
      <c r="AIN40" s="94"/>
      <c r="AIO40" s="94"/>
      <c r="AIP40" s="94"/>
      <c r="AIQ40" s="94"/>
      <c r="AIR40" s="94"/>
      <c r="AIS40" s="94"/>
      <c r="AIT40" s="94"/>
      <c r="AIU40" s="94"/>
      <c r="AIV40" s="94"/>
      <c r="AIW40" s="94"/>
      <c r="AIX40" s="94"/>
      <c r="AIY40" s="94"/>
      <c r="AIZ40" s="94"/>
      <c r="AJA40" s="94"/>
      <c r="AJB40" s="94"/>
      <c r="AJC40" s="94"/>
      <c r="AJD40" s="94"/>
      <c r="AJE40" s="94"/>
      <c r="AJF40" s="94"/>
      <c r="AJG40" s="94"/>
      <c r="AJH40" s="94"/>
      <c r="AJI40" s="94"/>
      <c r="AJJ40" s="94"/>
      <c r="AJK40" s="94"/>
      <c r="AJL40" s="94"/>
      <c r="AJM40" s="94"/>
      <c r="AJN40" s="94"/>
      <c r="AJO40" s="94"/>
      <c r="AJP40" s="94"/>
      <c r="AJQ40" s="94"/>
      <c r="AJR40" s="94"/>
      <c r="AJS40" s="94"/>
      <c r="AJT40" s="94"/>
      <c r="AJU40" s="94"/>
      <c r="AJV40" s="94"/>
      <c r="AJW40" s="94"/>
      <c r="AJX40" s="94"/>
      <c r="AJY40" s="94"/>
      <c r="AJZ40" s="94"/>
      <c r="AKA40" s="94"/>
      <c r="AKB40" s="94"/>
      <c r="AKC40" s="94"/>
      <c r="AKD40" s="94"/>
      <c r="AKE40" s="94"/>
      <c r="AKF40" s="94"/>
      <c r="AKG40" s="94"/>
      <c r="AKH40" s="94"/>
      <c r="AKI40" s="94"/>
      <c r="AKJ40" s="94"/>
      <c r="AKK40" s="94"/>
      <c r="AKL40" s="94"/>
      <c r="AKM40" s="94"/>
      <c r="AKN40" s="94"/>
      <c r="AKO40" s="94"/>
      <c r="AKP40" s="94"/>
      <c r="AKQ40" s="94"/>
      <c r="AKR40" s="94"/>
      <c r="AKS40" s="94"/>
      <c r="AKT40" s="94"/>
      <c r="AKU40" s="94"/>
      <c r="AKV40" s="94"/>
      <c r="AKW40" s="94"/>
      <c r="AKX40" s="94"/>
      <c r="AKY40" s="94"/>
      <c r="AKZ40" s="94"/>
      <c r="ALA40" s="94"/>
      <c r="ALB40" s="94"/>
      <c r="ALC40" s="94"/>
      <c r="ALD40" s="94"/>
      <c r="ALE40" s="94"/>
      <c r="ALF40" s="94"/>
      <c r="ALG40" s="94"/>
      <c r="ALH40" s="94"/>
      <c r="ALI40" s="94"/>
      <c r="ALJ40" s="94"/>
      <c r="ALK40" s="94"/>
      <c r="ALL40" s="94"/>
      <c r="ALM40" s="94"/>
      <c r="ALN40" s="94"/>
      <c r="ALO40" s="94"/>
      <c r="ALP40" s="94"/>
      <c r="ALQ40" s="94"/>
      <c r="ALR40" s="94"/>
      <c r="ALS40" s="94"/>
      <c r="ALT40" s="94"/>
      <c r="ALU40" s="94"/>
      <c r="ALV40" s="94"/>
      <c r="ALW40" s="94"/>
      <c r="ALX40" s="94"/>
      <c r="ALY40" s="94"/>
      <c r="ALZ40" s="94"/>
      <c r="AMA40" s="94"/>
      <c r="AMB40" s="94"/>
      <c r="AMC40" s="94"/>
      <c r="AMD40" s="94"/>
      <c r="AME40" s="94"/>
      <c r="AMF40" s="94"/>
      <c r="AMG40" s="94"/>
      <c r="AMH40" s="94"/>
      <c r="AMI40" s="94"/>
      <c r="AMJ40" s="94"/>
      <c r="AMK40" s="94"/>
      <c r="AML40" s="94"/>
      <c r="AMM40" s="94"/>
      <c r="AMN40" s="94"/>
      <c r="AMO40" s="94"/>
      <c r="AMP40" s="94"/>
      <c r="AMQ40" s="94"/>
      <c r="AMR40" s="94"/>
      <c r="AMS40" s="94"/>
      <c r="AMT40" s="94"/>
      <c r="AMU40" s="94"/>
      <c r="AMV40" s="94"/>
      <c r="AMW40" s="94"/>
      <c r="AMX40" s="94"/>
      <c r="AMY40" s="94"/>
      <c r="AMZ40" s="94"/>
      <c r="ANA40" s="94"/>
      <c r="ANB40" s="94"/>
      <c r="ANC40" s="94"/>
      <c r="AND40" s="94"/>
      <c r="ANE40" s="94"/>
      <c r="ANF40" s="94"/>
      <c r="ANG40" s="94"/>
      <c r="ANH40" s="94"/>
      <c r="ANI40" s="94"/>
      <c r="ANJ40" s="94"/>
      <c r="ANK40" s="94"/>
      <c r="ANL40" s="94"/>
      <c r="ANM40" s="94"/>
      <c r="ANN40" s="94"/>
      <c r="ANO40" s="94"/>
      <c r="ANP40" s="94"/>
      <c r="ANQ40" s="94"/>
      <c r="ANR40" s="94"/>
      <c r="ANS40" s="94"/>
      <c r="ANT40" s="94"/>
      <c r="ANU40" s="94"/>
      <c r="ANV40" s="94"/>
      <c r="ANW40" s="94"/>
      <c r="ANX40" s="94"/>
      <c r="ANY40" s="94"/>
      <c r="ANZ40" s="94"/>
      <c r="AOA40" s="94"/>
      <c r="AOB40" s="94"/>
      <c r="AOC40" s="94"/>
      <c r="AOD40" s="94"/>
      <c r="AOE40" s="94"/>
      <c r="AOF40" s="94"/>
      <c r="AOG40" s="94"/>
      <c r="AOH40" s="94"/>
      <c r="AOI40" s="94"/>
      <c r="AOJ40" s="94"/>
      <c r="AOK40" s="94"/>
      <c r="AOL40" s="94"/>
      <c r="AOM40" s="94"/>
      <c r="AON40" s="94"/>
      <c r="AOO40" s="94"/>
      <c r="AOP40" s="94"/>
      <c r="AOQ40" s="94"/>
      <c r="AOR40" s="94"/>
      <c r="AOS40" s="94"/>
      <c r="AOT40" s="94"/>
      <c r="AOU40" s="94"/>
      <c r="AOV40" s="94"/>
      <c r="AOW40" s="94"/>
      <c r="AOX40" s="94"/>
      <c r="AOY40" s="94"/>
      <c r="AOZ40" s="94"/>
      <c r="APA40" s="94"/>
      <c r="APB40" s="94"/>
      <c r="APC40" s="94"/>
      <c r="APD40" s="94"/>
      <c r="APE40" s="94"/>
      <c r="APF40" s="94"/>
      <c r="APG40" s="94"/>
      <c r="APH40" s="94"/>
      <c r="API40" s="94"/>
      <c r="APJ40" s="94"/>
      <c r="APK40" s="94"/>
      <c r="APL40" s="94"/>
      <c r="APM40" s="94"/>
      <c r="APN40" s="94"/>
      <c r="APO40" s="94"/>
      <c r="APP40" s="94"/>
      <c r="APQ40" s="94"/>
      <c r="APR40" s="94"/>
      <c r="APS40" s="94"/>
      <c r="APT40" s="94"/>
      <c r="APU40" s="94"/>
      <c r="APV40" s="94"/>
      <c r="APW40" s="94"/>
      <c r="APX40" s="94"/>
      <c r="APY40" s="94"/>
      <c r="APZ40" s="94"/>
      <c r="AQA40" s="94"/>
      <c r="AQB40" s="94"/>
      <c r="AQC40" s="94"/>
      <c r="AQD40" s="94"/>
      <c r="AQE40" s="94"/>
      <c r="AQF40" s="94"/>
      <c r="AQG40" s="94"/>
      <c r="AQH40" s="94"/>
      <c r="AQI40" s="94"/>
      <c r="AQJ40" s="94"/>
      <c r="AQK40" s="94"/>
      <c r="AQL40" s="94"/>
      <c r="AQM40" s="94"/>
      <c r="AQN40" s="94"/>
      <c r="AQO40" s="94"/>
      <c r="AQP40" s="94"/>
      <c r="AQQ40" s="94"/>
      <c r="AQR40" s="94"/>
      <c r="AQS40" s="94"/>
      <c r="AQT40" s="94"/>
      <c r="AQU40" s="94"/>
      <c r="AQV40" s="94"/>
      <c r="AQW40" s="94"/>
      <c r="AQX40" s="94"/>
      <c r="AQY40" s="94"/>
      <c r="AQZ40" s="94"/>
      <c r="ARA40" s="94"/>
      <c r="ARB40" s="94"/>
      <c r="ARC40" s="94"/>
      <c r="ARD40" s="94"/>
      <c r="ARE40" s="94"/>
      <c r="ARF40" s="94"/>
      <c r="ARG40" s="94"/>
      <c r="ARH40" s="94"/>
      <c r="ARI40" s="94"/>
      <c r="ARJ40" s="94"/>
      <c r="ARK40" s="94"/>
      <c r="ARL40" s="94"/>
      <c r="ARM40" s="94"/>
      <c r="ARN40" s="94"/>
      <c r="ARO40" s="94"/>
      <c r="ARP40" s="94"/>
      <c r="ARQ40" s="94"/>
      <c r="ARR40" s="94"/>
      <c r="ARS40" s="94"/>
      <c r="ART40" s="94"/>
      <c r="ARU40" s="94"/>
      <c r="ARV40" s="94"/>
      <c r="ARW40" s="94"/>
      <c r="ARX40" s="94"/>
      <c r="ARY40" s="94"/>
      <c r="ARZ40" s="94"/>
      <c r="ASA40" s="94"/>
      <c r="ASB40" s="94"/>
      <c r="ASC40" s="94"/>
      <c r="ASD40" s="94"/>
      <c r="ASE40" s="94"/>
      <c r="ASF40" s="94"/>
      <c r="ASG40" s="94"/>
      <c r="ASH40" s="94"/>
      <c r="ASI40" s="94"/>
      <c r="ASJ40" s="94"/>
      <c r="ASK40" s="94"/>
      <c r="ASL40" s="94"/>
      <c r="ASM40" s="94"/>
      <c r="ASN40" s="94"/>
      <c r="ASO40" s="94"/>
      <c r="ASP40" s="94"/>
      <c r="ASQ40" s="94"/>
      <c r="ASR40" s="94"/>
      <c r="ASS40" s="94"/>
      <c r="AST40" s="94"/>
      <c r="ASU40" s="94"/>
      <c r="ASV40" s="94"/>
      <c r="ASW40" s="94"/>
      <c r="ASX40" s="94"/>
      <c r="ASY40" s="94"/>
      <c r="ASZ40" s="94"/>
      <c r="ATA40" s="94"/>
      <c r="ATB40" s="94"/>
      <c r="ATC40" s="94"/>
      <c r="ATD40" s="94"/>
      <c r="ATE40" s="94"/>
      <c r="ATF40" s="94"/>
      <c r="ATG40" s="94"/>
      <c r="ATH40" s="94"/>
      <c r="ATI40" s="94"/>
      <c r="ATJ40" s="94"/>
      <c r="ATK40" s="94"/>
      <c r="ATL40" s="94"/>
      <c r="ATM40" s="94"/>
      <c r="ATN40" s="94"/>
      <c r="ATO40" s="94"/>
      <c r="ATP40" s="94"/>
      <c r="ATQ40" s="94"/>
      <c r="ATR40" s="94"/>
      <c r="ATS40" s="94"/>
      <c r="ATT40" s="94"/>
      <c r="ATU40" s="94"/>
      <c r="ATV40" s="94"/>
      <c r="ATW40" s="94"/>
      <c r="ATX40" s="94"/>
      <c r="ATY40" s="94"/>
      <c r="ATZ40" s="94"/>
      <c r="AUA40" s="94"/>
      <c r="AUB40" s="94"/>
      <c r="AUC40" s="94"/>
      <c r="AUD40" s="94"/>
      <c r="AUE40" s="94"/>
      <c r="AUF40" s="94"/>
      <c r="AUG40" s="94"/>
      <c r="AUH40" s="94"/>
      <c r="AUI40" s="94"/>
      <c r="AUJ40" s="94"/>
      <c r="AUK40" s="94"/>
      <c r="AUL40" s="94"/>
      <c r="AUM40" s="94"/>
      <c r="AUN40" s="94"/>
      <c r="AUO40" s="94"/>
      <c r="AUP40" s="94"/>
      <c r="AUQ40" s="94"/>
      <c r="AUR40" s="94"/>
      <c r="AUS40" s="94"/>
      <c r="AUT40" s="94"/>
      <c r="AUU40" s="94"/>
      <c r="AUV40" s="94"/>
      <c r="AUW40" s="94"/>
      <c r="AUX40" s="94"/>
      <c r="AUY40" s="94"/>
      <c r="AUZ40" s="94"/>
      <c r="AVA40" s="94"/>
      <c r="AVB40" s="94"/>
      <c r="AVC40" s="94"/>
      <c r="AVD40" s="94"/>
      <c r="AVE40" s="94"/>
      <c r="AVF40" s="94"/>
      <c r="AVG40" s="94"/>
      <c r="AVH40" s="94"/>
      <c r="AVI40" s="94"/>
      <c r="AVJ40" s="94"/>
      <c r="AVK40" s="94"/>
      <c r="AVL40" s="94"/>
      <c r="AVM40" s="94"/>
      <c r="AVN40" s="94"/>
      <c r="AVO40" s="94"/>
      <c r="AVP40" s="94"/>
      <c r="AVQ40" s="94"/>
      <c r="AVR40" s="94"/>
      <c r="AVS40" s="94"/>
      <c r="AVT40" s="94"/>
      <c r="AVU40" s="94"/>
      <c r="AVV40" s="94"/>
      <c r="AVW40" s="94"/>
      <c r="AVX40" s="94"/>
      <c r="AVY40" s="94"/>
      <c r="AVZ40" s="94"/>
      <c r="AWA40" s="94"/>
      <c r="AWB40" s="94"/>
      <c r="AWC40" s="94"/>
      <c r="AWD40" s="94"/>
      <c r="AWE40" s="94"/>
      <c r="AWF40" s="94"/>
      <c r="AWG40" s="94"/>
      <c r="AWH40" s="94"/>
      <c r="AWI40" s="94"/>
      <c r="AWJ40" s="94"/>
      <c r="AWK40" s="94"/>
      <c r="AWL40" s="94"/>
      <c r="AWM40" s="94"/>
      <c r="AWN40" s="94"/>
      <c r="AWO40" s="94"/>
      <c r="AWP40" s="94"/>
      <c r="AWQ40" s="94"/>
      <c r="AWR40" s="94"/>
      <c r="AWS40" s="94"/>
      <c r="AWT40" s="94"/>
      <c r="AWU40" s="94"/>
      <c r="AWV40" s="94"/>
      <c r="AWW40" s="94"/>
      <c r="AWX40" s="94"/>
      <c r="AWY40" s="94"/>
      <c r="AWZ40" s="94"/>
      <c r="AXA40" s="94"/>
      <c r="AXB40" s="94"/>
      <c r="AXC40" s="94"/>
      <c r="AXD40" s="94"/>
      <c r="AXE40" s="94"/>
      <c r="AXF40" s="94"/>
      <c r="AXG40" s="94"/>
      <c r="AXH40" s="94"/>
      <c r="AXI40" s="94"/>
      <c r="AXJ40" s="94"/>
      <c r="AXK40" s="94"/>
      <c r="AXL40" s="94"/>
      <c r="AXM40" s="94"/>
      <c r="AXN40" s="94"/>
      <c r="AXO40" s="94"/>
      <c r="AXP40" s="94"/>
      <c r="AXQ40" s="94"/>
      <c r="AXR40" s="94"/>
      <c r="AXS40" s="94"/>
      <c r="AXT40" s="94"/>
      <c r="AXU40" s="94"/>
      <c r="AXV40" s="94"/>
      <c r="AXW40" s="94"/>
      <c r="AXX40" s="94"/>
      <c r="AXY40" s="94"/>
      <c r="AXZ40" s="94"/>
      <c r="AYA40" s="94"/>
      <c r="AYB40" s="94"/>
      <c r="AYC40" s="94"/>
      <c r="AYD40" s="94"/>
      <c r="AYE40" s="94"/>
      <c r="AYF40" s="94"/>
      <c r="AYG40" s="94"/>
      <c r="AYH40" s="94"/>
      <c r="AYI40" s="94"/>
      <c r="AYJ40" s="94"/>
      <c r="AYK40" s="94"/>
      <c r="AYL40" s="94"/>
      <c r="AYM40" s="94"/>
      <c r="AYN40" s="94"/>
      <c r="AYO40" s="94"/>
      <c r="AYP40" s="94"/>
      <c r="AYQ40" s="94"/>
      <c r="AYR40" s="94"/>
      <c r="AYS40" s="94"/>
      <c r="AYT40" s="94"/>
      <c r="AYU40" s="94"/>
      <c r="AYV40" s="94"/>
      <c r="AYW40" s="94"/>
      <c r="AYX40" s="94"/>
      <c r="AYY40" s="94"/>
      <c r="AYZ40" s="94"/>
      <c r="AZA40" s="94"/>
      <c r="AZB40" s="94"/>
      <c r="AZC40" s="94"/>
      <c r="AZD40" s="94"/>
      <c r="AZE40" s="94"/>
      <c r="AZF40" s="94"/>
      <c r="AZG40" s="94"/>
      <c r="AZH40" s="94"/>
      <c r="AZI40" s="94"/>
      <c r="AZJ40" s="94"/>
      <c r="AZK40" s="94"/>
      <c r="AZL40" s="94"/>
      <c r="AZM40" s="94"/>
      <c r="AZN40" s="94"/>
      <c r="AZO40" s="94"/>
      <c r="AZP40" s="94"/>
      <c r="AZQ40" s="94"/>
      <c r="AZR40" s="94"/>
      <c r="AZS40" s="94"/>
      <c r="AZT40" s="94"/>
      <c r="AZU40" s="94"/>
      <c r="AZV40" s="94"/>
      <c r="AZW40" s="94"/>
      <c r="AZX40" s="94"/>
      <c r="AZY40" s="94"/>
      <c r="AZZ40" s="94"/>
      <c r="BAA40" s="94"/>
      <c r="BAB40" s="94"/>
      <c r="BAC40" s="94"/>
      <c r="BAD40" s="94"/>
      <c r="BAE40" s="94"/>
      <c r="BAF40" s="94"/>
      <c r="BAG40" s="94"/>
      <c r="BAH40" s="94"/>
      <c r="BAI40" s="94"/>
      <c r="BAJ40" s="94"/>
      <c r="BAK40" s="94"/>
      <c r="BAL40" s="94"/>
      <c r="BAM40" s="94"/>
      <c r="BAN40" s="94"/>
      <c r="BAO40" s="94"/>
      <c r="BAP40" s="94"/>
      <c r="BAQ40" s="94"/>
      <c r="BAR40" s="94"/>
      <c r="BAS40" s="94"/>
      <c r="BAT40" s="94"/>
      <c r="BAU40" s="94"/>
      <c r="BAV40" s="94"/>
      <c r="BAW40" s="94"/>
      <c r="BAX40" s="94"/>
      <c r="BAY40" s="94"/>
      <c r="BAZ40" s="94"/>
      <c r="BBA40" s="94"/>
      <c r="BBB40" s="94"/>
      <c r="BBC40" s="94"/>
      <c r="BBD40" s="94"/>
      <c r="BBE40" s="94"/>
      <c r="BBF40" s="94"/>
      <c r="BBG40" s="94"/>
      <c r="BBH40" s="94"/>
      <c r="BBI40" s="94"/>
      <c r="BBJ40" s="94"/>
      <c r="BBK40" s="94"/>
      <c r="BBL40" s="94"/>
      <c r="BBM40" s="94"/>
      <c r="BBN40" s="94"/>
      <c r="BBO40" s="94"/>
      <c r="BBP40" s="94"/>
      <c r="BBQ40" s="94"/>
      <c r="BBR40" s="94"/>
      <c r="BBS40" s="94"/>
      <c r="BBT40" s="94"/>
      <c r="BBU40" s="94"/>
      <c r="BBV40" s="94"/>
      <c r="BBW40" s="94"/>
      <c r="BBX40" s="94"/>
      <c r="BBY40" s="94"/>
      <c r="BBZ40" s="94"/>
      <c r="BCA40" s="94"/>
      <c r="BCB40" s="94"/>
      <c r="BCC40" s="94"/>
      <c r="BCD40" s="94"/>
      <c r="BCE40" s="94"/>
      <c r="BCF40" s="94"/>
      <c r="BCG40" s="94"/>
      <c r="BCH40" s="94"/>
      <c r="BCI40" s="94"/>
      <c r="BCJ40" s="94"/>
      <c r="BCK40" s="94"/>
      <c r="BCL40" s="94"/>
      <c r="BCM40" s="94"/>
      <c r="BCN40" s="94"/>
      <c r="BCO40" s="94"/>
      <c r="BCP40" s="94"/>
      <c r="BCQ40" s="94"/>
      <c r="BCR40" s="94"/>
      <c r="BCS40" s="94"/>
      <c r="BCT40" s="94"/>
      <c r="BCU40" s="94"/>
      <c r="BCV40" s="94"/>
      <c r="BCW40" s="94"/>
      <c r="BCX40" s="94"/>
      <c r="BCY40" s="94"/>
      <c r="BCZ40" s="94"/>
      <c r="BDA40" s="94"/>
      <c r="BDB40" s="94"/>
      <c r="BDC40" s="94"/>
      <c r="BDD40" s="94"/>
      <c r="BDE40" s="94"/>
      <c r="BDF40" s="94"/>
      <c r="BDG40" s="94"/>
      <c r="BDH40" s="94"/>
      <c r="BDI40" s="94"/>
      <c r="BDJ40" s="94"/>
      <c r="BDK40" s="94"/>
      <c r="BDL40" s="94"/>
      <c r="BDM40" s="94"/>
      <c r="BDN40" s="94"/>
      <c r="BDO40" s="94"/>
      <c r="BDP40" s="94"/>
      <c r="BDQ40" s="94"/>
      <c r="BDR40" s="94"/>
      <c r="BDS40" s="94"/>
      <c r="BDT40" s="94"/>
      <c r="BDU40" s="94"/>
      <c r="BDV40" s="94"/>
      <c r="BDW40" s="94"/>
      <c r="BDX40" s="94"/>
      <c r="BDY40" s="94"/>
      <c r="BDZ40" s="94"/>
      <c r="BEA40" s="94"/>
      <c r="BEB40" s="94"/>
      <c r="BEC40" s="94"/>
      <c r="BED40" s="94"/>
      <c r="BEE40" s="94"/>
      <c r="BEF40" s="94"/>
      <c r="BEG40" s="94"/>
      <c r="BEH40" s="94"/>
      <c r="BEI40" s="94"/>
      <c r="BEJ40" s="94"/>
      <c r="BEK40" s="94"/>
      <c r="BEL40" s="94"/>
      <c r="BEM40" s="94"/>
      <c r="BEN40" s="94"/>
      <c r="BEO40" s="94"/>
      <c r="BEP40" s="94"/>
      <c r="BEQ40" s="94"/>
      <c r="BER40" s="94"/>
      <c r="BES40" s="94"/>
      <c r="BET40" s="94"/>
      <c r="BEU40" s="94"/>
      <c r="BEV40" s="94"/>
      <c r="BEW40" s="94"/>
      <c r="BEX40" s="94"/>
      <c r="BEY40" s="94"/>
      <c r="BEZ40" s="94"/>
      <c r="BFA40" s="94"/>
      <c r="BFB40" s="94"/>
      <c r="BFC40" s="94"/>
      <c r="BFD40" s="94"/>
      <c r="BFE40" s="94"/>
      <c r="BFF40" s="94"/>
      <c r="BFG40" s="94"/>
      <c r="BFH40" s="94"/>
      <c r="BFI40" s="94"/>
      <c r="BFJ40" s="94"/>
      <c r="BFK40" s="94"/>
      <c r="BFL40" s="94"/>
      <c r="BFM40" s="94"/>
      <c r="BFN40" s="94"/>
      <c r="BFO40" s="94"/>
      <c r="BFP40" s="94"/>
      <c r="BFQ40" s="94"/>
      <c r="BFR40" s="94"/>
      <c r="BFS40" s="94"/>
      <c r="BFT40" s="94"/>
      <c r="BFU40" s="94"/>
      <c r="BFV40" s="94"/>
      <c r="BFW40" s="94"/>
      <c r="BFX40" s="94"/>
      <c r="BFY40" s="94"/>
      <c r="BFZ40" s="94"/>
      <c r="BGA40" s="94"/>
      <c r="BGB40" s="94"/>
      <c r="BGC40" s="94"/>
      <c r="BGD40" s="94"/>
      <c r="BGE40" s="94"/>
      <c r="BGF40" s="94"/>
      <c r="BGG40" s="94"/>
      <c r="BGH40" s="94"/>
      <c r="BGI40" s="94"/>
      <c r="BGJ40" s="94"/>
      <c r="BGK40" s="94"/>
      <c r="BGL40" s="94"/>
      <c r="BGM40" s="94"/>
      <c r="BGN40" s="94"/>
      <c r="BGO40" s="94"/>
      <c r="BGP40" s="94"/>
      <c r="BGQ40" s="94"/>
      <c r="BGR40" s="94"/>
      <c r="BGS40" s="94"/>
      <c r="BGT40" s="94"/>
      <c r="BGU40" s="94"/>
      <c r="BGV40" s="94"/>
      <c r="BGW40" s="94"/>
      <c r="BGX40" s="94"/>
      <c r="BGY40" s="94"/>
      <c r="BGZ40" s="94"/>
      <c r="BHA40" s="94"/>
      <c r="BHB40" s="94"/>
      <c r="BHC40" s="94"/>
      <c r="BHD40" s="94"/>
      <c r="BHE40" s="94"/>
      <c r="BHF40" s="94"/>
      <c r="BHG40" s="94"/>
      <c r="BHH40" s="94"/>
      <c r="BHI40" s="94"/>
      <c r="BHJ40" s="94"/>
      <c r="BHK40" s="94"/>
      <c r="BHL40" s="94"/>
      <c r="BHM40" s="94"/>
      <c r="BHN40" s="94"/>
      <c r="BHO40" s="94"/>
      <c r="BHP40" s="94"/>
      <c r="BHQ40" s="94"/>
      <c r="BHR40" s="94"/>
      <c r="BHS40" s="94"/>
      <c r="BHT40" s="94"/>
      <c r="BHU40" s="94"/>
      <c r="BHV40" s="94"/>
      <c r="BHW40" s="94"/>
      <c r="BHX40" s="94"/>
      <c r="BHY40" s="94"/>
      <c r="BHZ40" s="94"/>
      <c r="BIA40" s="94"/>
      <c r="BIB40" s="94"/>
      <c r="BIC40" s="94"/>
      <c r="BID40" s="94"/>
      <c r="BIE40" s="94"/>
      <c r="BIF40" s="94"/>
      <c r="BIG40" s="94"/>
      <c r="BIH40" s="94"/>
      <c r="BII40" s="94"/>
      <c r="BIJ40" s="94"/>
      <c r="BIK40" s="94"/>
      <c r="BIL40" s="94"/>
      <c r="BIM40" s="94"/>
      <c r="BIN40" s="94"/>
      <c r="BIO40" s="94"/>
      <c r="BIP40" s="94"/>
      <c r="BIQ40" s="94"/>
      <c r="BIR40" s="94"/>
      <c r="BIS40" s="94"/>
      <c r="BIT40" s="94"/>
      <c r="BIU40" s="94"/>
      <c r="BIV40" s="94"/>
      <c r="BIW40" s="94"/>
      <c r="BIX40" s="94"/>
      <c r="BIY40" s="94"/>
      <c r="BIZ40" s="94"/>
      <c r="BJA40" s="94"/>
      <c r="BJB40" s="94"/>
      <c r="BJC40" s="94"/>
      <c r="BJD40" s="94"/>
      <c r="BJE40" s="94"/>
      <c r="BJF40" s="94"/>
    </row>
    <row r="41" customFormat="false" ht="15.75" hidden="false" customHeight="true" outlineLevel="0" collapsed="false">
      <c r="A41" s="96"/>
      <c r="B41" s="96"/>
      <c r="C41" s="96"/>
      <c r="D41" s="97"/>
      <c r="E41" s="98"/>
      <c r="F41" s="98"/>
      <c r="G41" s="99"/>
      <c r="H41" s="99"/>
      <c r="I41" s="99"/>
      <c r="J41" s="99"/>
      <c r="K41" s="99"/>
      <c r="L41" s="99"/>
      <c r="M41" s="99"/>
      <c r="N41" s="100"/>
      <c r="O41" s="101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3" t="s">
        <v>31</v>
      </c>
    </row>
    <row r="42" customFormat="false" ht="15.75" hidden="false" customHeight="true" outlineLevel="0" collapsed="false">
      <c r="A42" s="104"/>
      <c r="B42" s="104"/>
      <c r="C42" s="104"/>
      <c r="D42" s="97"/>
      <c r="E42" s="98"/>
      <c r="F42" s="98"/>
      <c r="G42" s="99"/>
      <c r="H42" s="99"/>
      <c r="I42" s="99"/>
      <c r="J42" s="99"/>
      <c r="K42" s="99"/>
      <c r="L42" s="99"/>
      <c r="M42" s="99"/>
      <c r="N42" s="100"/>
      <c r="O42" s="101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3" t="n">
        <f aca="false">SUM(Z6:Z29)</f>
        <v>1017.5</v>
      </c>
    </row>
    <row r="43" customFormat="false" ht="13.8" hidden="false" customHeight="false" outlineLevel="0" collapsed="false">
      <c r="A43" s="105"/>
      <c r="B43" s="105"/>
      <c r="C43" s="105"/>
      <c r="D43" s="106"/>
      <c r="E43" s="106"/>
      <c r="F43" s="107"/>
      <c r="G43" s="107"/>
      <c r="H43" s="107"/>
      <c r="I43" s="107"/>
      <c r="J43" s="107"/>
      <c r="K43" s="107"/>
      <c r="L43" s="108"/>
      <c r="M43" s="108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customFormat="false" ht="13.8" hidden="false" customHeight="false" outlineLevel="0" collapsed="false">
      <c r="A44" s="105"/>
      <c r="B44" s="105"/>
      <c r="C44" s="105"/>
      <c r="D44" s="106"/>
      <c r="E44" s="106"/>
      <c r="F44" s="107"/>
      <c r="G44" s="107"/>
      <c r="H44" s="107"/>
      <c r="I44" s="107"/>
      <c r="J44" s="107"/>
      <c r="K44" s="107"/>
      <c r="L44" s="108"/>
      <c r="M44" s="108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customFormat="false" ht="13.8" hidden="false" customHeight="false" outlineLevel="0" collapsed="false">
      <c r="A45" s="110"/>
      <c r="B45" s="110"/>
      <c r="C45" s="110"/>
      <c r="D45" s="106"/>
      <c r="E45" s="106"/>
      <c r="F45" s="107"/>
      <c r="G45" s="107"/>
      <c r="H45" s="107"/>
      <c r="I45" s="107"/>
      <c r="J45" s="107"/>
      <c r="K45" s="107"/>
      <c r="L45" s="108"/>
      <c r="M45" s="108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customFormat="false" ht="15.75" hidden="false" customHeight="true" outlineLevel="0" collapsed="false">
      <c r="A46" s="111"/>
      <c r="B46" s="111"/>
      <c r="C46" s="111"/>
      <c r="D46" s="112" t="s">
        <v>32</v>
      </c>
      <c r="E46" s="113"/>
      <c r="F46" s="113"/>
      <c r="G46" s="113"/>
      <c r="H46" s="113"/>
      <c r="I46" s="113"/>
      <c r="J46" s="113"/>
      <c r="K46" s="114"/>
      <c r="L46" s="115"/>
      <c r="M46" s="115"/>
      <c r="N46" s="116"/>
      <c r="O46" s="116"/>
      <c r="P46" s="116"/>
      <c r="Q46" s="116"/>
      <c r="R46" s="116"/>
      <c r="S46" s="116"/>
      <c r="T46" s="116"/>
      <c r="U46" s="117" t="s">
        <v>33</v>
      </c>
      <c r="V46" s="116"/>
      <c r="W46" s="116"/>
      <c r="X46" s="116"/>
      <c r="Y46" s="116"/>
      <c r="Z46" s="116"/>
    </row>
    <row r="47" customFormat="false" ht="15.75" hidden="false" customHeight="true" outlineLevel="0" collapsed="false">
      <c r="A47" s="111"/>
      <c r="B47" s="111"/>
      <c r="C47" s="111"/>
      <c r="D47" s="112"/>
      <c r="E47" s="113"/>
      <c r="F47" s="118" t="s">
        <v>22</v>
      </c>
      <c r="G47" s="118" t="s">
        <v>23</v>
      </c>
      <c r="H47" s="118" t="s">
        <v>34</v>
      </c>
      <c r="I47" s="118" t="s">
        <v>25</v>
      </c>
      <c r="J47" s="118" t="s">
        <v>26</v>
      </c>
      <c r="K47" s="118" t="s">
        <v>27</v>
      </c>
      <c r="L47" s="118" t="s">
        <v>28</v>
      </c>
      <c r="M47" s="115"/>
      <c r="N47" s="116"/>
      <c r="O47" s="116"/>
      <c r="P47" s="116"/>
      <c r="Q47" s="116"/>
      <c r="R47" s="116"/>
      <c r="S47" s="116"/>
      <c r="T47" s="116"/>
      <c r="U47" s="117"/>
      <c r="V47" s="116"/>
      <c r="W47" s="116"/>
      <c r="X47" s="116"/>
      <c r="Y47" s="116"/>
      <c r="Z47" s="116"/>
    </row>
    <row r="48" customFormat="false" ht="17.35" hidden="false" customHeight="false" outlineLevel="0" collapsed="false">
      <c r="A48" s="92"/>
      <c r="B48" s="92"/>
      <c r="C48" s="92"/>
      <c r="D48" s="119"/>
      <c r="E48" s="120"/>
      <c r="F48" s="121"/>
      <c r="G48" s="121"/>
      <c r="H48" s="121"/>
      <c r="I48" s="121"/>
      <c r="J48" s="121"/>
      <c r="K48" s="121"/>
      <c r="L48" s="121"/>
      <c r="M48" s="97" t="n">
        <f aca="false">SUM(F48:L48)</f>
        <v>0</v>
      </c>
      <c r="N48" s="122" t="n">
        <v>2.1</v>
      </c>
      <c r="O48" s="123" t="n">
        <f aca="false">SUM(G48:L48)</f>
        <v>0</v>
      </c>
      <c r="P48" s="122" t="n">
        <f aca="false">N48*O48</f>
        <v>0</v>
      </c>
      <c r="Q48" s="123" t="n">
        <f aca="false">SUM(F48)</f>
        <v>0</v>
      </c>
      <c r="R48" s="122" t="n">
        <v>2.2</v>
      </c>
      <c r="S48" s="122" t="n">
        <f aca="false">(R48*Q48)</f>
        <v>0</v>
      </c>
      <c r="T48" s="122" t="n">
        <f aca="false">SUM(P48,S48)</f>
        <v>0</v>
      </c>
      <c r="U48" s="102"/>
      <c r="V48" s="102"/>
      <c r="W48" s="102"/>
      <c r="X48" s="102"/>
      <c r="Y48" s="102"/>
      <c r="Z48" s="124" t="n">
        <f aca="false">T48+U48-V48-W48-X48-Y48</f>
        <v>0</v>
      </c>
    </row>
    <row r="49" customFormat="false" ht="17.35" hidden="false" customHeight="false" outlineLevel="0" collapsed="false">
      <c r="A49" s="26"/>
      <c r="B49" s="26"/>
      <c r="C49" s="26"/>
      <c r="D49" s="125"/>
      <c r="E49" s="126"/>
      <c r="M49" s="97" t="n">
        <f aca="false">SUM(F49:L49)</f>
        <v>0</v>
      </c>
      <c r="N49" s="127" t="n">
        <v>2.1</v>
      </c>
      <c r="O49" s="123" t="n">
        <f aca="false">SUM(G49:L49)</f>
        <v>0</v>
      </c>
      <c r="P49" s="122" t="n">
        <f aca="false">N49*O49</f>
        <v>0</v>
      </c>
      <c r="Q49" s="123" t="n">
        <f aca="false">SUM(F49)</f>
        <v>0</v>
      </c>
      <c r="R49" s="127" t="n">
        <v>2.2</v>
      </c>
      <c r="S49" s="122" t="n">
        <f aca="false">(R49*Q49)</f>
        <v>0</v>
      </c>
      <c r="T49" s="122" t="n">
        <f aca="false">SUM(P49,S49)</f>
        <v>0</v>
      </c>
      <c r="U49" s="102" t="n">
        <v>200</v>
      </c>
      <c r="V49" s="102"/>
      <c r="W49" s="102"/>
      <c r="X49" s="102"/>
      <c r="Y49" s="102"/>
      <c r="Z49" s="124" t="n">
        <f aca="false">T49+U49-V49-W49-X49-Y49</f>
        <v>200</v>
      </c>
    </row>
    <row r="50" customFormat="false" ht="17.35" hidden="false" customHeight="false" outlineLevel="0" collapsed="false">
      <c r="A50" s="26"/>
      <c r="B50" s="26"/>
      <c r="C50" s="26"/>
      <c r="D50" s="125"/>
      <c r="E50" s="126"/>
      <c r="F50" s="121"/>
      <c r="G50" s="121"/>
      <c r="H50" s="121"/>
      <c r="I50" s="121"/>
      <c r="J50" s="121"/>
      <c r="K50" s="121"/>
      <c r="L50" s="121"/>
      <c r="M50" s="97" t="n">
        <f aca="false">SUM(F50:L50)</f>
        <v>0</v>
      </c>
      <c r="N50" s="127" t="n">
        <v>2.1</v>
      </c>
      <c r="O50" s="123" t="n">
        <f aca="false">SUM(G50:L50)</f>
        <v>0</v>
      </c>
      <c r="P50" s="122" t="n">
        <f aca="false">N50*O50</f>
        <v>0</v>
      </c>
      <c r="Q50" s="123" t="n">
        <f aca="false">SUM(F50)</f>
        <v>0</v>
      </c>
      <c r="R50" s="127"/>
      <c r="S50" s="122" t="n">
        <f aca="false">(R50*Q50)</f>
        <v>0</v>
      </c>
      <c r="T50" s="122" t="n">
        <f aca="false">SUM(P50,S50)</f>
        <v>0</v>
      </c>
      <c r="U50" s="102"/>
      <c r="V50" s="102"/>
      <c r="W50" s="102"/>
      <c r="X50" s="102"/>
      <c r="Y50" s="102"/>
      <c r="Z50" s="124" t="n">
        <f aca="false">T50+U50-V50-W50-X50-Y50</f>
        <v>0</v>
      </c>
    </row>
    <row r="51" customFormat="false" ht="17.35" hidden="false" customHeight="false" outlineLevel="0" collapsed="false">
      <c r="A51" s="92"/>
      <c r="B51" s="92"/>
      <c r="C51" s="92"/>
      <c r="D51" s="119"/>
      <c r="E51" s="126"/>
      <c r="M51" s="97" t="n">
        <f aca="false">SUM(F51:L51)</f>
        <v>0</v>
      </c>
      <c r="N51" s="122" t="n">
        <v>2.1</v>
      </c>
      <c r="O51" s="123" t="n">
        <f aca="false">SUM(G51:L51)</f>
        <v>0</v>
      </c>
      <c r="P51" s="122" t="n">
        <f aca="false">N51*O51</f>
        <v>0</v>
      </c>
      <c r="Q51" s="123" t="n">
        <f aca="false">SUM(F51)</f>
        <v>0</v>
      </c>
      <c r="R51" s="122" t="n">
        <v>2.2</v>
      </c>
      <c r="S51" s="122" t="n">
        <f aca="false">(R51*Q51)</f>
        <v>0</v>
      </c>
      <c r="T51" s="122" t="n">
        <f aca="false">SUM(P51,S51)</f>
        <v>0</v>
      </c>
      <c r="U51" s="102"/>
      <c r="V51" s="102"/>
      <c r="W51" s="102"/>
      <c r="X51" s="102"/>
      <c r="Y51" s="102"/>
      <c r="Z51" s="124" t="n">
        <f aca="false">T51+U51-V51-W51-X51-Y51</f>
        <v>0</v>
      </c>
    </row>
    <row r="52" customFormat="false" ht="17.35" hidden="false" customHeight="false" outlineLevel="0" collapsed="false">
      <c r="A52" s="92"/>
      <c r="B52" s="92"/>
      <c r="C52" s="92"/>
      <c r="D52" s="119"/>
      <c r="E52" s="126"/>
      <c r="F52" s="121"/>
      <c r="G52" s="121"/>
      <c r="H52" s="121"/>
      <c r="I52" s="121"/>
      <c r="J52" s="121"/>
      <c r="K52" s="121"/>
      <c r="L52" s="121"/>
      <c r="M52" s="97" t="n">
        <f aca="false">SUM(F52:L52)</f>
        <v>0</v>
      </c>
      <c r="N52" s="128" t="n">
        <v>2.1</v>
      </c>
      <c r="O52" s="129" t="n">
        <f aca="false">SUM(G52:L52)</f>
        <v>0</v>
      </c>
      <c r="P52" s="128" t="n">
        <f aca="false">N52*O52</f>
        <v>0</v>
      </c>
      <c r="Q52" s="129" t="n">
        <f aca="false">SUM(F52)</f>
        <v>0</v>
      </c>
      <c r="R52" s="128" t="n">
        <v>2.35</v>
      </c>
      <c r="S52" s="128" t="n">
        <f aca="false">(R52*Q52)</f>
        <v>0</v>
      </c>
      <c r="T52" s="130" t="n">
        <v>2000</v>
      </c>
      <c r="U52" s="131" t="n">
        <v>400</v>
      </c>
      <c r="V52" s="102"/>
      <c r="W52" s="102"/>
      <c r="X52" s="102"/>
      <c r="Y52" s="102"/>
      <c r="Z52" s="124" t="n">
        <f aca="false">T52+U52-V52-W52-X52-Y52</f>
        <v>2400</v>
      </c>
    </row>
    <row r="53" customFormat="false" ht="17.35" hidden="false" customHeight="false" outlineLevel="0" collapsed="false">
      <c r="A53" s="92"/>
      <c r="B53" s="92"/>
      <c r="C53" s="92"/>
      <c r="D53" s="119"/>
      <c r="E53" s="126"/>
      <c r="F53" s="121"/>
      <c r="G53" s="121"/>
      <c r="H53" s="121"/>
      <c r="I53" s="121"/>
      <c r="J53" s="121"/>
      <c r="K53" s="121"/>
      <c r="L53" s="121"/>
      <c r="M53" s="97" t="n">
        <f aca="false">SUM(F53:L53)</f>
        <v>0</v>
      </c>
      <c r="N53" s="127" t="n">
        <v>2.1</v>
      </c>
      <c r="O53" s="123" t="n">
        <f aca="false">SUM(G53:L53)</f>
        <v>0</v>
      </c>
      <c r="P53" s="122" t="n">
        <f aca="false">N53*O53</f>
        <v>0</v>
      </c>
      <c r="Q53" s="123" t="n">
        <f aca="false">SUM(F53)</f>
        <v>0</v>
      </c>
      <c r="R53" s="122" t="n">
        <v>2.2</v>
      </c>
      <c r="S53" s="122" t="n">
        <f aca="false">(R53*Q53)</f>
        <v>0</v>
      </c>
      <c r="T53" s="122" t="n">
        <f aca="false">SUM(P53,S53)</f>
        <v>0</v>
      </c>
      <c r="U53" s="132"/>
      <c r="V53" s="122" t="n">
        <v>300</v>
      </c>
      <c r="W53" s="102"/>
      <c r="X53" s="102"/>
      <c r="Y53" s="102"/>
      <c r="Z53" s="124" t="n">
        <f aca="false">T53+U53-V53-W53-X53-Y53</f>
        <v>-300</v>
      </c>
    </row>
    <row r="54" customFormat="false" ht="17.35" hidden="false" customHeight="false" outlineLevel="0" collapsed="false">
      <c r="A54" s="92"/>
      <c r="B54" s="92"/>
      <c r="C54" s="92"/>
      <c r="D54" s="119"/>
      <c r="E54" s="120"/>
      <c r="F54" s="121"/>
      <c r="G54" s="121"/>
      <c r="H54" s="121"/>
      <c r="I54" s="121"/>
      <c r="J54" s="121"/>
      <c r="K54" s="121"/>
      <c r="L54" s="121"/>
      <c r="M54" s="97" t="n">
        <f aca="false">SUM(F54:L54)</f>
        <v>0</v>
      </c>
      <c r="N54" s="122" t="n">
        <v>2.1</v>
      </c>
      <c r="O54" s="123" t="n">
        <f aca="false">SUM(G54:L54)</f>
        <v>0</v>
      </c>
      <c r="P54" s="122" t="n">
        <f aca="false">N54*O54</f>
        <v>0</v>
      </c>
      <c r="Q54" s="123" t="n">
        <f aca="false">SUM(F54)</f>
        <v>0</v>
      </c>
      <c r="R54" s="122" t="n">
        <v>2.2</v>
      </c>
      <c r="S54" s="122" t="n">
        <f aca="false">(R54*Q54)</f>
        <v>0</v>
      </c>
      <c r="T54" s="122" t="n">
        <f aca="false">SUM(P54,S54)</f>
        <v>0</v>
      </c>
      <c r="U54" s="102"/>
      <c r="V54" s="102"/>
      <c r="W54" s="102"/>
      <c r="X54" s="102"/>
      <c r="Y54" s="102"/>
      <c r="Z54" s="124" t="n">
        <f aca="false">T54+U54-V54-W54-X54-Y54</f>
        <v>0</v>
      </c>
    </row>
    <row r="55" customFormat="false" ht="17.35" hidden="false" customHeight="false" outlineLevel="0" collapsed="false">
      <c r="A55" s="92"/>
      <c r="B55" s="92"/>
      <c r="C55" s="92"/>
      <c r="D55" s="119"/>
      <c r="E55" s="126"/>
      <c r="F55" s="121"/>
      <c r="G55" s="121"/>
      <c r="H55" s="121"/>
      <c r="I55" s="121"/>
      <c r="J55" s="121"/>
      <c r="K55" s="121"/>
      <c r="L55" s="121"/>
      <c r="M55" s="97" t="n">
        <f aca="false">SUM(F55:L55)</f>
        <v>0</v>
      </c>
      <c r="N55" s="122" t="n">
        <v>2.1</v>
      </c>
      <c r="O55" s="123" t="n">
        <f aca="false">SUM(G55:L55)</f>
        <v>0</v>
      </c>
      <c r="P55" s="122" t="n">
        <f aca="false">N55*O55</f>
        <v>0</v>
      </c>
      <c r="Q55" s="123" t="n">
        <f aca="false">SUM(F55)</f>
        <v>0</v>
      </c>
      <c r="R55" s="122" t="n">
        <v>2.2</v>
      </c>
      <c r="S55" s="122" t="n">
        <f aca="false">(R55*Q55)</f>
        <v>0</v>
      </c>
      <c r="T55" s="122" t="n">
        <f aca="false">SUM(P55,S55)</f>
        <v>0</v>
      </c>
      <c r="U55" s="122"/>
      <c r="V55" s="132" t="n">
        <v>300</v>
      </c>
      <c r="W55" s="102"/>
      <c r="X55" s="102"/>
      <c r="Y55" s="102"/>
      <c r="Z55" s="124" t="n">
        <f aca="false">T55+U55-V55-W55-X55-Y55</f>
        <v>-300</v>
      </c>
    </row>
    <row r="56" customFormat="false" ht="17.35" hidden="false" customHeight="false" outlineLevel="0" collapsed="false">
      <c r="A56" s="92"/>
      <c r="B56" s="92"/>
      <c r="C56" s="92"/>
      <c r="D56" s="119"/>
      <c r="E56" s="126"/>
      <c r="F56" s="121"/>
      <c r="G56" s="121"/>
      <c r="H56" s="121"/>
      <c r="I56" s="121"/>
      <c r="J56" s="121"/>
      <c r="K56" s="121"/>
      <c r="L56" s="121"/>
      <c r="M56" s="97" t="n">
        <f aca="false">SUM(F56:L56)</f>
        <v>0</v>
      </c>
      <c r="N56" s="122" t="n">
        <v>2.1</v>
      </c>
      <c r="O56" s="123" t="n">
        <f aca="false">SUM(G56:L56)</f>
        <v>0</v>
      </c>
      <c r="P56" s="122" t="n">
        <f aca="false">N56*O56</f>
        <v>0</v>
      </c>
      <c r="Q56" s="123" t="n">
        <f aca="false">SUM(F56)</f>
        <v>0</v>
      </c>
      <c r="R56" s="122" t="n">
        <v>2.2</v>
      </c>
      <c r="S56" s="122" t="n">
        <f aca="false">(R56*Q56)</f>
        <v>0</v>
      </c>
      <c r="T56" s="122" t="n">
        <f aca="false">SUM(P56,S56)</f>
        <v>0</v>
      </c>
      <c r="U56" s="127" t="n">
        <v>400</v>
      </c>
      <c r="V56" s="100"/>
      <c r="W56" s="102"/>
      <c r="X56" s="102"/>
      <c r="Y56" s="102"/>
      <c r="Z56" s="124" t="n">
        <f aca="false">T56+U56-V56-W56-X56-Y56</f>
        <v>400</v>
      </c>
    </row>
    <row r="57" customFormat="false" ht="17.35" hidden="false" customHeight="false" outlineLevel="0" collapsed="false">
      <c r="A57" s="92"/>
      <c r="B57" s="92"/>
      <c r="C57" s="92"/>
      <c r="D57" s="119"/>
      <c r="E57" s="126"/>
      <c r="F57" s="121"/>
      <c r="G57" s="121"/>
      <c r="H57" s="121"/>
      <c r="I57" s="121"/>
      <c r="J57" s="121"/>
      <c r="K57" s="121"/>
      <c r="L57" s="121"/>
      <c r="M57" s="97" t="n">
        <f aca="false">SUM(F57:L57)</f>
        <v>0</v>
      </c>
      <c r="N57" s="122" t="n">
        <v>2.1</v>
      </c>
      <c r="O57" s="123" t="n">
        <f aca="false">SUM(G57:L57)</f>
        <v>0</v>
      </c>
      <c r="P57" s="122" t="n">
        <f aca="false">N57*O57</f>
        <v>0</v>
      </c>
      <c r="Q57" s="123" t="n">
        <f aca="false">SUM(F57)</f>
        <v>0</v>
      </c>
      <c r="R57" s="122" t="n">
        <v>2.2</v>
      </c>
      <c r="S57" s="122" t="n">
        <f aca="false">(R57*Q57)</f>
        <v>0</v>
      </c>
      <c r="T57" s="122" t="n">
        <f aca="false">SUM(P57,S57)</f>
        <v>0</v>
      </c>
      <c r="U57" s="97"/>
      <c r="V57" s="132" t="n">
        <v>300</v>
      </c>
      <c r="W57" s="97"/>
      <c r="X57" s="97"/>
      <c r="Y57" s="97"/>
      <c r="Z57" s="124" t="n">
        <f aca="false">T57+U57-V57-W57-X57-Y57</f>
        <v>-300</v>
      </c>
    </row>
    <row r="58" customFormat="false" ht="17.35" hidden="false" customHeight="false" outlineLevel="0" collapsed="false">
      <c r="A58" s="92"/>
      <c r="B58" s="92"/>
      <c r="C58" s="92"/>
      <c r="D58" s="133"/>
      <c r="E58" s="120"/>
      <c r="F58" s="121"/>
      <c r="G58" s="121"/>
      <c r="H58" s="121"/>
      <c r="I58" s="121"/>
      <c r="J58" s="121"/>
      <c r="K58" s="121"/>
      <c r="L58" s="121"/>
      <c r="M58" s="97" t="n">
        <f aca="false">SUM(F58:L58)</f>
        <v>0</v>
      </c>
      <c r="N58" s="127" t="n">
        <v>2.1</v>
      </c>
      <c r="O58" s="123" t="n">
        <f aca="false">SUM(G58:L58)</f>
        <v>0</v>
      </c>
      <c r="P58" s="122" t="n">
        <f aca="false">N58*O58</f>
        <v>0</v>
      </c>
      <c r="Q58" s="123" t="n">
        <f aca="false">SUM(F58)</f>
        <v>0</v>
      </c>
      <c r="R58" s="122"/>
      <c r="S58" s="122" t="n">
        <f aca="false">(R58*Q58)</f>
        <v>0</v>
      </c>
      <c r="T58" s="122" t="n">
        <f aca="false">SUM(P58,S58)</f>
        <v>0</v>
      </c>
      <c r="U58" s="97"/>
      <c r="V58" s="132" t="n">
        <v>150</v>
      </c>
      <c r="W58" s="97"/>
      <c r="X58" s="97"/>
      <c r="Y58" s="97"/>
      <c r="Z58" s="124" t="n">
        <f aca="false">T58+U58-V58-W58-X58-Y58</f>
        <v>-150</v>
      </c>
    </row>
    <row r="59" customFormat="false" ht="17.35" hidden="false" customHeight="false" outlineLevel="0" collapsed="false">
      <c r="A59" s="92"/>
      <c r="B59" s="92"/>
      <c r="C59" s="92"/>
      <c r="D59" s="133"/>
      <c r="E59" s="134"/>
      <c r="F59" s="121"/>
      <c r="G59" s="121"/>
      <c r="H59" s="121"/>
      <c r="I59" s="121"/>
      <c r="J59" s="121"/>
      <c r="K59" s="121"/>
      <c r="L59" s="121"/>
      <c r="M59" s="97" t="n">
        <f aca="false">SUM(F59:L59)</f>
        <v>0</v>
      </c>
      <c r="N59" s="122" t="n">
        <v>2.1</v>
      </c>
      <c r="O59" s="123" t="n">
        <f aca="false">SUM(G59:L59)</f>
        <v>0</v>
      </c>
      <c r="P59" s="122" t="n">
        <f aca="false">N59*O59</f>
        <v>0</v>
      </c>
      <c r="Q59" s="123" t="n">
        <f aca="false">SUM(F59)</f>
        <v>0</v>
      </c>
      <c r="R59" s="122" t="n">
        <v>2.2</v>
      </c>
      <c r="S59" s="122" t="n">
        <f aca="false">(R59*Q59)</f>
        <v>0</v>
      </c>
      <c r="T59" s="122" t="n">
        <f aca="false">SUM(P59,S59)</f>
        <v>0</v>
      </c>
      <c r="U59" s="102"/>
      <c r="V59" s="102"/>
      <c r="W59" s="102"/>
      <c r="X59" s="102"/>
      <c r="Y59" s="102"/>
      <c r="Z59" s="124" t="n">
        <f aca="false">T59+U59-V59-W59-X59-Y59</f>
        <v>0</v>
      </c>
      <c r="AA59" s="48" t="n">
        <f aca="false">Z58+Z59</f>
        <v>-150</v>
      </c>
    </row>
    <row r="60" customFormat="false" ht="17.35" hidden="false" customHeight="false" outlineLevel="0" collapsed="false">
      <c r="A60" s="92"/>
      <c r="B60" s="92"/>
      <c r="C60" s="92"/>
      <c r="D60" s="119"/>
      <c r="E60" s="120"/>
      <c r="F60" s="121"/>
      <c r="G60" s="121"/>
      <c r="H60" s="121"/>
      <c r="I60" s="121"/>
      <c r="J60" s="121"/>
      <c r="K60" s="121"/>
      <c r="L60" s="121"/>
      <c r="M60" s="97" t="n">
        <f aca="false">SUM(F60:L60)</f>
        <v>0</v>
      </c>
      <c r="N60" s="127" t="n">
        <v>2.1</v>
      </c>
      <c r="O60" s="123" t="n">
        <f aca="false">SUM(G60:L60)</f>
        <v>0</v>
      </c>
      <c r="P60" s="122" t="n">
        <f aca="false">N60*O60</f>
        <v>0</v>
      </c>
      <c r="Q60" s="123" t="n">
        <f aca="false">SUM(F60)</f>
        <v>0</v>
      </c>
      <c r="R60" s="102"/>
      <c r="S60" s="122" t="n">
        <f aca="false">(R60*Q60)</f>
        <v>0</v>
      </c>
      <c r="T60" s="122" t="n">
        <f aca="false">SUM(P60,S60)</f>
        <v>0</v>
      </c>
      <c r="U60" s="102"/>
      <c r="V60" s="102"/>
      <c r="W60" s="102"/>
      <c r="X60" s="102"/>
      <c r="Y60" s="102"/>
      <c r="Z60" s="124" t="n">
        <f aca="false">T60+U60-V60-W60-X60-Y60</f>
        <v>0</v>
      </c>
    </row>
    <row r="61" customFormat="false" ht="17.35" hidden="false" customHeight="false" outlineLevel="0" collapsed="false">
      <c r="A61" s="69"/>
      <c r="B61" s="69"/>
      <c r="C61" s="69"/>
      <c r="D61" s="135"/>
      <c r="E61" s="120"/>
      <c r="F61" s="121"/>
      <c r="G61" s="121"/>
      <c r="H61" s="121"/>
      <c r="I61" s="121"/>
      <c r="J61" s="121"/>
      <c r="K61" s="121"/>
      <c r="L61" s="121"/>
      <c r="M61" s="97" t="n">
        <f aca="false">SUM(F61:L61)</f>
        <v>0</v>
      </c>
      <c r="N61" s="122" t="n">
        <v>2.1</v>
      </c>
      <c r="O61" s="123" t="n">
        <f aca="false">SUM(G61:L61)</f>
        <v>0</v>
      </c>
      <c r="P61" s="122" t="n">
        <f aca="false">N61*O61</f>
        <v>0</v>
      </c>
      <c r="Q61" s="123" t="n">
        <f aca="false">SUM(F61)</f>
        <v>0</v>
      </c>
      <c r="R61" s="122" t="n">
        <v>2.2</v>
      </c>
      <c r="S61" s="122" t="n">
        <f aca="false">(R61*Q61)</f>
        <v>0</v>
      </c>
      <c r="T61" s="122" t="n">
        <f aca="false">SUM(P61,S61)</f>
        <v>0</v>
      </c>
      <c r="U61" s="102"/>
      <c r="V61" s="132" t="n">
        <v>300</v>
      </c>
      <c r="W61" s="102"/>
      <c r="X61" s="102"/>
      <c r="Y61" s="102"/>
      <c r="Z61" s="124" t="n">
        <f aca="false">T61+U61-V61-W61-X61-Y61</f>
        <v>-300</v>
      </c>
    </row>
    <row r="62" customFormat="false" ht="17.35" hidden="false" customHeight="false" outlineLevel="0" collapsed="false">
      <c r="A62" s="69"/>
      <c r="B62" s="69"/>
      <c r="C62" s="69"/>
      <c r="D62" s="135"/>
      <c r="E62" s="120"/>
      <c r="F62" s="121"/>
      <c r="G62" s="121"/>
      <c r="H62" s="121"/>
      <c r="I62" s="121"/>
      <c r="J62" s="121"/>
      <c r="K62" s="121"/>
      <c r="L62" s="121"/>
      <c r="M62" s="97" t="n">
        <f aca="false">SUM(F62:L62)</f>
        <v>0</v>
      </c>
      <c r="N62" s="127" t="n">
        <v>2.1</v>
      </c>
      <c r="O62" s="123" t="n">
        <f aca="false">SUM(G62:L62)</f>
        <v>0</v>
      </c>
      <c r="P62" s="122" t="n">
        <f aca="false">N62*O62</f>
        <v>0</v>
      </c>
      <c r="Q62" s="123" t="n">
        <f aca="false">SUM(F62)</f>
        <v>0</v>
      </c>
      <c r="R62" s="102"/>
      <c r="S62" s="122" t="n">
        <f aca="false">(R62*Q62)</f>
        <v>0</v>
      </c>
      <c r="T62" s="122" t="n">
        <f aca="false">SUM(P62,S62)</f>
        <v>0</v>
      </c>
      <c r="U62" s="102"/>
      <c r="V62" s="102"/>
      <c r="W62" s="102"/>
      <c r="X62" s="102"/>
      <c r="Y62" s="102"/>
      <c r="Z62" s="124" t="n">
        <f aca="false">T62+U62-V62-W62-X62-Y62</f>
        <v>0</v>
      </c>
    </row>
    <row r="63" customFormat="false" ht="17.35" hidden="false" customHeight="false" outlineLevel="0" collapsed="false">
      <c r="A63" s="92"/>
      <c r="B63" s="92"/>
      <c r="C63" s="92"/>
      <c r="D63" s="119"/>
      <c r="E63" s="120"/>
      <c r="F63" s="121"/>
      <c r="G63" s="121"/>
      <c r="H63" s="121"/>
      <c r="I63" s="121"/>
      <c r="J63" s="121"/>
      <c r="K63" s="121"/>
      <c r="L63" s="121"/>
      <c r="M63" s="97" t="n">
        <f aca="false">SUM(F63:L63)</f>
        <v>0</v>
      </c>
      <c r="N63" s="122" t="n">
        <v>2.1</v>
      </c>
      <c r="O63" s="123" t="n">
        <f aca="false">SUM(G63:L63)</f>
        <v>0</v>
      </c>
      <c r="P63" s="122" t="n">
        <f aca="false">N63*O63</f>
        <v>0</v>
      </c>
      <c r="Q63" s="123" t="n">
        <f aca="false">SUM(F63)</f>
        <v>0</v>
      </c>
      <c r="R63" s="122" t="n">
        <v>2.2</v>
      </c>
      <c r="S63" s="122" t="n">
        <f aca="false">(R63*Q63)</f>
        <v>0</v>
      </c>
      <c r="T63" s="122" t="n">
        <f aca="false">SUM(P63,S63)</f>
        <v>0</v>
      </c>
      <c r="U63" s="102" t="n">
        <v>310</v>
      </c>
      <c r="V63" s="132" t="n">
        <v>300</v>
      </c>
      <c r="W63" s="102"/>
      <c r="X63" s="102"/>
      <c r="Y63" s="102"/>
      <c r="Z63" s="124" t="n">
        <f aca="false">T63+U63-V63-W63-X63-Y63</f>
        <v>10</v>
      </c>
    </row>
    <row r="64" customFormat="false" ht="17.35" hidden="false" customHeight="false" outlineLevel="0" collapsed="false">
      <c r="A64" s="92"/>
      <c r="B64" s="92"/>
      <c r="C64" s="92"/>
      <c r="D64" s="136"/>
      <c r="E64" s="15"/>
      <c r="F64" s="121"/>
      <c r="G64" s="121"/>
      <c r="H64" s="121"/>
      <c r="I64" s="121"/>
      <c r="J64" s="121"/>
      <c r="K64" s="121"/>
      <c r="L64" s="121"/>
      <c r="M64" s="97"/>
      <c r="N64" s="102"/>
      <c r="O64" s="101"/>
      <c r="P64" s="102"/>
      <c r="Q64" s="101"/>
      <c r="R64" s="102"/>
      <c r="S64" s="102"/>
      <c r="T64" s="102"/>
      <c r="U64" s="102"/>
      <c r="V64" s="102"/>
      <c r="W64" s="102"/>
      <c r="X64" s="102"/>
      <c r="Y64" s="102"/>
      <c r="Z64" s="103" t="s">
        <v>35</v>
      </c>
    </row>
    <row r="65" customFormat="false" ht="17.35" hidden="false" customHeight="false" outlineLevel="0" collapsed="false">
      <c r="A65" s="92"/>
      <c r="B65" s="92"/>
      <c r="C65" s="92"/>
      <c r="D65" s="27"/>
      <c r="E65" s="15"/>
      <c r="F65" s="97"/>
      <c r="G65" s="97"/>
      <c r="H65" s="97"/>
      <c r="I65" s="97"/>
      <c r="J65" s="97"/>
      <c r="K65" s="97"/>
      <c r="L65" s="97"/>
      <c r="M65" s="97"/>
      <c r="N65" s="102"/>
      <c r="O65" s="101"/>
      <c r="P65" s="102"/>
      <c r="Q65" s="101"/>
      <c r="R65" s="102"/>
      <c r="S65" s="102"/>
      <c r="T65" s="102"/>
      <c r="U65" s="102"/>
      <c r="V65" s="102"/>
      <c r="W65" s="102"/>
      <c r="X65" s="102"/>
      <c r="Y65" s="102"/>
      <c r="Z65" s="103" t="n">
        <f aca="false">SUM(Z48:Z63)</f>
        <v>1660</v>
      </c>
    </row>
    <row r="66" customFormat="false" ht="17.35" hidden="false" customHeight="false" outlineLevel="0" collapsed="false">
      <c r="A66" s="13"/>
      <c r="B66" s="13"/>
      <c r="C66" s="13"/>
      <c r="D66" s="27"/>
      <c r="E66" s="15"/>
      <c r="F66" s="97"/>
      <c r="G66" s="98"/>
      <c r="H66" s="97"/>
      <c r="I66" s="97"/>
      <c r="J66" s="97"/>
      <c r="K66" s="97"/>
      <c r="L66" s="97"/>
      <c r="M66" s="97"/>
      <c r="N66" s="102"/>
      <c r="O66" s="101"/>
      <c r="P66" s="102"/>
      <c r="Q66" s="101"/>
      <c r="R66" s="102"/>
      <c r="S66" s="102"/>
      <c r="T66" s="102"/>
      <c r="U66" s="102"/>
      <c r="V66" s="102"/>
      <c r="W66" s="102"/>
      <c r="X66" s="102"/>
      <c r="Y66" s="102"/>
      <c r="Z66" s="103"/>
    </row>
    <row r="67" customFormat="false" ht="22.05" hidden="false" customHeight="false" outlineLevel="0" collapsed="false">
      <c r="A67" s="111"/>
      <c r="B67" s="111"/>
      <c r="C67" s="111"/>
      <c r="D67" s="137" t="s">
        <v>36</v>
      </c>
      <c r="E67" s="113"/>
      <c r="F67" s="113"/>
      <c r="G67" s="113"/>
      <c r="H67" s="113"/>
      <c r="I67" s="113"/>
      <c r="J67" s="113"/>
      <c r="K67" s="114"/>
      <c r="L67" s="115"/>
      <c r="M67" s="115"/>
      <c r="N67" s="116"/>
      <c r="O67" s="138"/>
      <c r="P67" s="116"/>
      <c r="Q67" s="138"/>
      <c r="R67" s="116"/>
      <c r="S67" s="116"/>
      <c r="T67" s="116"/>
      <c r="U67" s="116"/>
      <c r="V67" s="116"/>
      <c r="W67" s="116"/>
      <c r="X67" s="116"/>
      <c r="Y67" s="116"/>
      <c r="Z67" s="116"/>
    </row>
    <row r="68" customFormat="false" ht="17.35" hidden="false" customHeight="false" outlineLevel="0" collapsed="false">
      <c r="A68" s="92"/>
      <c r="B68" s="92"/>
      <c r="C68" s="92"/>
      <c r="D68" s="139"/>
      <c r="E68" s="140"/>
      <c r="F68" s="121"/>
      <c r="G68" s="121"/>
      <c r="H68" s="121"/>
      <c r="I68" s="121"/>
      <c r="J68" s="121"/>
      <c r="K68" s="121"/>
      <c r="L68" s="121"/>
      <c r="M68" s="141" t="n">
        <f aca="false">SUM(F68:L68)</f>
        <v>0</v>
      </c>
      <c r="N68" s="122" t="n">
        <v>2.25</v>
      </c>
      <c r="O68" s="123" t="n">
        <f aca="false">SUM(G68:L68)</f>
        <v>0</v>
      </c>
      <c r="P68" s="122" t="n">
        <f aca="false">(O68*N68)</f>
        <v>0</v>
      </c>
      <c r="Q68" s="123" t="n">
        <f aca="false">SUM(F68)</f>
        <v>0</v>
      </c>
      <c r="R68" s="122" t="n">
        <v>2.2</v>
      </c>
      <c r="S68" s="122" t="n">
        <f aca="false">(R68*Q68)</f>
        <v>0</v>
      </c>
      <c r="T68" s="122" t="n">
        <f aca="false">P68+S68</f>
        <v>0</v>
      </c>
      <c r="U68" s="132"/>
      <c r="V68" s="122" t="n">
        <v>300</v>
      </c>
      <c r="W68" s="102"/>
      <c r="X68" s="102"/>
      <c r="Y68" s="102"/>
      <c r="Z68" s="124" t="n">
        <f aca="false">T68+U68-V68-W68-X68-Y68</f>
        <v>-300</v>
      </c>
    </row>
    <row r="69" customFormat="false" ht="17.35" hidden="false" customHeight="false" outlineLevel="0" collapsed="false">
      <c r="A69" s="92"/>
      <c r="B69" s="92"/>
      <c r="C69" s="92"/>
      <c r="D69" s="139"/>
      <c r="E69" s="140"/>
      <c r="F69" s="121"/>
      <c r="G69" s="121"/>
      <c r="H69" s="121"/>
      <c r="I69" s="121"/>
      <c r="J69" s="121"/>
      <c r="K69" s="121"/>
      <c r="L69" s="121"/>
      <c r="M69" s="141" t="n">
        <f aca="false">SUM(F69:L69)</f>
        <v>0</v>
      </c>
      <c r="N69" s="122" t="n">
        <v>2.1</v>
      </c>
      <c r="O69" s="123" t="n">
        <f aca="false">SUM(G69:L69)</f>
        <v>0</v>
      </c>
      <c r="P69" s="122" t="n">
        <f aca="false">(O69*N69)</f>
        <v>0</v>
      </c>
      <c r="Q69" s="123" t="n">
        <f aca="false">SUM(F69)</f>
        <v>0</v>
      </c>
      <c r="R69" s="122" t="n">
        <v>2.2</v>
      </c>
      <c r="S69" s="122" t="n">
        <f aca="false">(R69*Q69)</f>
        <v>0</v>
      </c>
      <c r="T69" s="122" t="n">
        <f aca="false">P69+S69</f>
        <v>0</v>
      </c>
      <c r="U69" s="102"/>
      <c r="V69" s="102"/>
      <c r="W69" s="102"/>
      <c r="X69" s="102"/>
      <c r="Y69" s="102"/>
      <c r="Z69" s="124" t="n">
        <f aca="false">T69+U69-V69-W69-X69-Y69</f>
        <v>0</v>
      </c>
    </row>
    <row r="70" customFormat="false" ht="17.35" hidden="false" customHeight="false" outlineLevel="0" collapsed="false">
      <c r="A70" s="92"/>
      <c r="B70" s="92"/>
      <c r="C70" s="92"/>
      <c r="D70" s="139"/>
      <c r="E70" s="140"/>
      <c r="F70" s="121"/>
      <c r="G70" s="121"/>
      <c r="H70" s="121"/>
      <c r="I70" s="121"/>
      <c r="J70" s="121"/>
      <c r="K70" s="121"/>
      <c r="L70" s="121"/>
      <c r="M70" s="141" t="n">
        <f aca="false">SUM(F70:L70)</f>
        <v>0</v>
      </c>
      <c r="N70" s="122" t="n">
        <v>2.1</v>
      </c>
      <c r="O70" s="123" t="n">
        <f aca="false">SUM(G70:L70)</f>
        <v>0</v>
      </c>
      <c r="P70" s="122" t="n">
        <f aca="false">(O70*N70)</f>
        <v>0</v>
      </c>
      <c r="Q70" s="123" t="n">
        <f aca="false">SUM(F70)</f>
        <v>0</v>
      </c>
      <c r="R70" s="122" t="n">
        <v>2.2</v>
      </c>
      <c r="S70" s="122" t="n">
        <f aca="false">(R70*Q70)</f>
        <v>0</v>
      </c>
      <c r="T70" s="122" t="n">
        <f aca="false">P70+S70</f>
        <v>0</v>
      </c>
      <c r="U70" s="102"/>
      <c r="V70" s="102"/>
      <c r="W70" s="102"/>
      <c r="X70" s="102"/>
      <c r="Y70" s="102"/>
      <c r="Z70" s="124" t="n">
        <f aca="false">T70+U70-V70-W70-X70-Y70</f>
        <v>0</v>
      </c>
    </row>
    <row r="71" customFormat="false" ht="17.35" hidden="false" customHeight="false" outlineLevel="0" collapsed="false">
      <c r="A71" s="92"/>
      <c r="B71" s="92"/>
      <c r="C71" s="92"/>
      <c r="D71" s="139"/>
      <c r="E71" s="140"/>
      <c r="F71" s="121"/>
      <c r="G71" s="121"/>
      <c r="H71" s="121"/>
      <c r="I71" s="121"/>
      <c r="J71" s="121"/>
      <c r="K71" s="121"/>
      <c r="L71" s="121"/>
      <c r="M71" s="141" t="n">
        <f aca="false">SUM(F71:L71)</f>
        <v>0</v>
      </c>
      <c r="N71" s="122" t="n">
        <v>2.1</v>
      </c>
      <c r="O71" s="123" t="n">
        <f aca="false">SUM(G71:L71)</f>
        <v>0</v>
      </c>
      <c r="P71" s="122" t="n">
        <f aca="false">(O71*N71)</f>
        <v>0</v>
      </c>
      <c r="Q71" s="123" t="n">
        <f aca="false">SUM(F71)</f>
        <v>0</v>
      </c>
      <c r="R71" s="122" t="n">
        <v>2.2</v>
      </c>
      <c r="S71" s="122" t="n">
        <f aca="false">(R71*Q71)</f>
        <v>0</v>
      </c>
      <c r="T71" s="122" t="n">
        <f aca="false">P71+S71</f>
        <v>0</v>
      </c>
      <c r="U71" s="102"/>
      <c r="V71" s="122" t="n">
        <v>300</v>
      </c>
      <c r="W71" s="102"/>
      <c r="X71" s="102"/>
      <c r="Y71" s="102"/>
      <c r="Z71" s="124" t="n">
        <f aca="false">T71+U71-V71-W71-X71-Y71</f>
        <v>-300</v>
      </c>
    </row>
    <row r="72" customFormat="false" ht="17.35" hidden="false" customHeight="false" outlineLevel="0" collapsed="false">
      <c r="A72" s="13"/>
      <c r="B72" s="13"/>
      <c r="C72" s="13"/>
      <c r="D72" s="139"/>
      <c r="E72" s="140"/>
      <c r="F72" s="142"/>
      <c r="G72" s="142"/>
      <c r="H72" s="142"/>
      <c r="I72" s="142"/>
      <c r="J72" s="142"/>
      <c r="K72" s="142"/>
      <c r="L72" s="142"/>
      <c r="M72" s="141"/>
      <c r="N72" s="122"/>
      <c r="O72" s="123"/>
      <c r="P72" s="122"/>
      <c r="Q72" s="123"/>
      <c r="R72" s="122"/>
      <c r="S72" s="122"/>
      <c r="T72" s="122"/>
      <c r="U72" s="102"/>
      <c r="V72" s="122"/>
      <c r="W72" s="102"/>
      <c r="X72" s="102"/>
      <c r="Y72" s="102"/>
      <c r="Z72" s="124"/>
    </row>
    <row r="73" customFormat="false" ht="17.35" hidden="false" customHeight="false" outlineLevel="0" collapsed="false">
      <c r="A73" s="13"/>
      <c r="B73" s="13"/>
      <c r="C73" s="13"/>
      <c r="D73" s="139"/>
      <c r="E73" s="140"/>
      <c r="F73" s="142"/>
      <c r="G73" s="142"/>
      <c r="H73" s="142"/>
      <c r="I73" s="142"/>
      <c r="J73" s="142"/>
      <c r="K73" s="142"/>
      <c r="L73" s="142"/>
      <c r="M73" s="141"/>
      <c r="N73" s="122"/>
      <c r="O73" s="123"/>
      <c r="P73" s="122"/>
      <c r="Q73" s="123"/>
      <c r="R73" s="122"/>
      <c r="S73" s="122"/>
      <c r="T73" s="122"/>
      <c r="U73" s="102"/>
      <c r="V73" s="122"/>
      <c r="W73" s="102"/>
      <c r="X73" s="102"/>
      <c r="Y73" s="102"/>
      <c r="Z73" s="124"/>
    </row>
    <row r="74" customFormat="false" ht="17.35" hidden="false" customHeight="false" outlineLevel="0" collapsed="false">
      <c r="A74" s="13"/>
      <c r="B74" s="13"/>
      <c r="C74" s="13"/>
      <c r="D74" s="92"/>
      <c r="E74" s="143"/>
      <c r="Z74" s="103" t="e">
        <f aca="false">SUM(#REF!)</f>
        <v>#REF!</v>
      </c>
    </row>
    <row r="75" customFormat="false" ht="17.35" hidden="false" customHeight="false" outlineLevel="0" collapsed="false">
      <c r="A75" s="111"/>
      <c r="B75" s="111"/>
      <c r="C75" s="111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customFormat="false" ht="17.35" hidden="false" customHeight="false" outlineLevel="0" collapsed="false">
      <c r="A76" s="92"/>
      <c r="B76" s="92"/>
      <c r="C76" s="92"/>
      <c r="D76" s="145"/>
      <c r="E76" s="140"/>
      <c r="F76" s="92"/>
      <c r="G76" s="92"/>
      <c r="H76" s="92"/>
      <c r="I76" s="92"/>
      <c r="J76" s="92"/>
      <c r="K76" s="92"/>
      <c r="L76" s="92"/>
      <c r="M76" s="92"/>
      <c r="N76" s="92" t="n">
        <v>1.25</v>
      </c>
      <c r="O76" s="92" t="n">
        <f aca="false">SUM(G76:L76)</f>
        <v>0</v>
      </c>
      <c r="P76" s="92" t="n">
        <f aca="false">N76*O76</f>
        <v>0</v>
      </c>
      <c r="Q76" s="146" t="n">
        <f aca="false">F76</f>
        <v>0</v>
      </c>
      <c r="R76" s="146"/>
      <c r="S76" s="146"/>
      <c r="T76" s="147" t="n">
        <v>2000</v>
      </c>
      <c r="U76" s="92"/>
      <c r="V76" s="92"/>
      <c r="W76" s="92"/>
      <c r="X76" s="92"/>
      <c r="Y76" s="92"/>
      <c r="Z76" s="148" t="n">
        <f aca="false">T76+P76</f>
        <v>2000</v>
      </c>
    </row>
  </sheetData>
  <mergeCells count="5">
    <mergeCell ref="1:1"/>
    <mergeCell ref="D4:D5"/>
    <mergeCell ref="Z12:Z13"/>
    <mergeCell ref="D46:D47"/>
    <mergeCell ref="D75:O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2025-12-17T21:00:58Z</dcterms:created>
  <dc:creator>Alvin Brown</dc:creator>
  <dc:description/>
  <dc:language>en-US</dc:language>
  <cp:lastModifiedBy/>
  <dcterms:modified xsi:type="dcterms:W3CDTF">2025-12-24T03:47:03Z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